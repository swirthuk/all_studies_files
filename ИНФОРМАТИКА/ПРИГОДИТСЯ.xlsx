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5440" windowHeight="15990" activeTab="4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</sheets>
  <definedNames>
    <definedName name="solver_adj" localSheetId="4" hidden="1">'Задание 5'!$A$25:$B$25</definedName>
    <definedName name="solver_cvg" localSheetId="4" hidden="1">0.0001</definedName>
    <definedName name="solver_drv" localSheetId="4" hidden="1">1</definedName>
    <definedName name="solver_eng" localSheetId="0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0" hidden="1">1</definedName>
    <definedName name="solver_neg" localSheetId="4" hidden="1">1</definedName>
    <definedName name="solver_nod" localSheetId="4" hidden="1">2147483647</definedName>
    <definedName name="solver_num" localSheetId="0" hidden="1">0</definedName>
    <definedName name="solver_num" localSheetId="4" hidden="1">0</definedName>
    <definedName name="solver_nwt" localSheetId="4" hidden="1">1</definedName>
    <definedName name="solver_opt" localSheetId="0" hidden="1">'Задание 1'!$B$13</definedName>
    <definedName name="solver_opt" localSheetId="4" hidden="1">'Задание 5'!$C$25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0" hidden="1">1</definedName>
    <definedName name="solver_typ" localSheetId="4" hidden="1">3</definedName>
    <definedName name="solver_val" localSheetId="0" hidden="1">0</definedName>
    <definedName name="solver_val" localSheetId="4" hidden="1">0</definedName>
    <definedName name="solver_ver" localSheetId="0" hidden="1">3</definedName>
    <definedName name="solver_ver" localSheetId="4" hidden="1">3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4" i="5"/>
  <c r="D2" i="5"/>
  <c r="E2" i="5"/>
  <c r="F2" i="5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C2" i="5"/>
  <c r="A3" i="5"/>
  <c r="V3" i="5" l="1"/>
  <c r="C25" i="5"/>
  <c r="E35" i="4"/>
  <c r="F35" i="4" s="1"/>
  <c r="D35" i="4"/>
  <c r="E34" i="4"/>
  <c r="D34" i="4"/>
  <c r="C34" i="4"/>
  <c r="E30" i="4"/>
  <c r="D30" i="4"/>
  <c r="C30" i="4"/>
  <c r="F36" i="4"/>
  <c r="G22" i="4"/>
  <c r="O26" i="4"/>
  <c r="B7" i="3"/>
  <c r="D7" i="3" s="1"/>
  <c r="C8" i="3" s="1"/>
  <c r="C7" i="3"/>
  <c r="B6" i="3"/>
  <c r="D5" i="3"/>
  <c r="C6" i="3" s="1"/>
  <c r="F5" i="2"/>
  <c r="F6" i="2"/>
  <c r="F4" i="2"/>
  <c r="B25" i="2"/>
  <c r="C25" i="2"/>
  <c r="B15" i="2"/>
  <c r="B16" i="2"/>
  <c r="B17" i="2"/>
  <c r="B18" i="2" s="1"/>
  <c r="B19" i="2" s="1"/>
  <c r="B20" i="2" s="1"/>
  <c r="B21" i="2" s="1"/>
  <c r="B22" i="2" s="1"/>
  <c r="B23" i="2" s="1"/>
  <c r="B24" i="2" s="1"/>
  <c r="B9" i="2"/>
  <c r="B10" i="2"/>
  <c r="B11" i="2"/>
  <c r="B12" i="2" s="1"/>
  <c r="B13" i="2" s="1"/>
  <c r="B14" i="2" s="1"/>
  <c r="B7" i="2"/>
  <c r="B8" i="2"/>
  <c r="B5" i="2"/>
  <c r="B6" i="2"/>
  <c r="B4" i="2"/>
  <c r="C22" i="1"/>
  <c r="D22" i="1"/>
  <c r="E22" i="1"/>
  <c r="F22" i="1"/>
  <c r="G22" i="1"/>
  <c r="H22" i="1"/>
  <c r="I22" i="1"/>
  <c r="J22" i="1"/>
  <c r="K22" i="1"/>
  <c r="L22" i="1"/>
  <c r="M22" i="1"/>
  <c r="B21" i="1"/>
  <c r="B14" i="1"/>
  <c r="V4" i="5" l="1"/>
  <c r="V5" i="5"/>
  <c r="B8" i="3"/>
  <c r="E7" i="3"/>
  <c r="D6" i="3"/>
  <c r="M21" i="1"/>
  <c r="L21" i="1"/>
  <c r="V6" i="5" l="1"/>
  <c r="G5" i="5"/>
  <c r="G4" i="5"/>
  <c r="G6" i="5"/>
  <c r="D8" i="3"/>
  <c r="C9" i="3" s="1"/>
  <c r="B9" i="3"/>
  <c r="E6" i="3"/>
  <c r="B18" i="1"/>
  <c r="B20" i="1" s="1"/>
  <c r="C20" i="1" s="1"/>
  <c r="D20" i="1" s="1"/>
  <c r="E20" i="1" s="1"/>
  <c r="F20" i="1" s="1"/>
  <c r="G20" i="1" s="1"/>
  <c r="H20" i="1" s="1"/>
  <c r="I20" i="1" s="1"/>
  <c r="J20" i="1" s="1"/>
  <c r="K20" i="1" s="1"/>
  <c r="G3" i="5" l="1"/>
  <c r="H6" i="5"/>
  <c r="H5" i="5"/>
  <c r="H3" i="5"/>
  <c r="H4" i="5"/>
  <c r="B10" i="3"/>
  <c r="D9" i="3"/>
  <c r="C10" i="3" s="1"/>
  <c r="E8" i="3"/>
  <c r="F34" i="4"/>
  <c r="B36" i="4" a="1"/>
  <c r="B32" i="4" a="1"/>
  <c r="B31" i="4" a="1"/>
  <c r="B28" i="4" a="1"/>
  <c r="B27" i="4" a="1"/>
  <c r="B26" i="4" a="1"/>
  <c r="E26" i="4" s="1"/>
  <c r="F6" i="5" l="1"/>
  <c r="F3" i="5"/>
  <c r="F5" i="5"/>
  <c r="F4" i="5"/>
  <c r="I6" i="5"/>
  <c r="I5" i="5"/>
  <c r="I3" i="5"/>
  <c r="I4" i="5"/>
  <c r="E28" i="4"/>
  <c r="D10" i="3"/>
  <c r="C11" i="3" s="1"/>
  <c r="B11" i="3"/>
  <c r="E9" i="3"/>
  <c r="E27" i="4"/>
  <c r="D26" i="4"/>
  <c r="D27" i="4" s="1"/>
  <c r="C26" i="4"/>
  <c r="C27" i="4" s="1"/>
  <c r="B26" i="4"/>
  <c r="B28" i="4" s="1"/>
  <c r="E6" i="5" l="1"/>
  <c r="E4" i="5"/>
  <c r="E3" i="5"/>
  <c r="E5" i="5"/>
  <c r="J4" i="5"/>
  <c r="J6" i="5"/>
  <c r="J5" i="5"/>
  <c r="J3" i="5"/>
  <c r="D28" i="4"/>
  <c r="E31" i="4"/>
  <c r="G27" i="4"/>
  <c r="C31" i="4"/>
  <c r="D31" i="4"/>
  <c r="B27" i="4"/>
  <c r="B31" i="4" s="1"/>
  <c r="C28" i="4"/>
  <c r="D11" i="3"/>
  <c r="C12" i="3" s="1"/>
  <c r="B12" i="3"/>
  <c r="P16" i="4"/>
  <c r="L16" i="4"/>
  <c r="H16" i="4"/>
  <c r="H10" i="4"/>
  <c r="B11" i="4" a="1"/>
  <c r="B11" i="4" s="1"/>
  <c r="D3" i="5" l="1"/>
  <c r="D5" i="5"/>
  <c r="D4" i="5"/>
  <c r="D6" i="5"/>
  <c r="K4" i="5"/>
  <c r="K6" i="5"/>
  <c r="K5" i="5"/>
  <c r="K3" i="5"/>
  <c r="B32" i="4"/>
  <c r="D32" i="4"/>
  <c r="D36" i="4" s="1"/>
  <c r="C32" i="4"/>
  <c r="E32" i="4"/>
  <c r="P17" i="4"/>
  <c r="L17" i="4"/>
  <c r="O25" i="4" s="1"/>
  <c r="H17" i="4"/>
  <c r="O24" i="4" s="1"/>
  <c r="K28" i="4" s="1" a="1"/>
  <c r="D12" i="3"/>
  <c r="C13" i="3" s="1"/>
  <c r="B13" i="3"/>
  <c r="E10" i="3"/>
  <c r="B13" i="4"/>
  <c r="D11" i="4"/>
  <c r="C13" i="4"/>
  <c r="D12" i="4"/>
  <c r="C11" i="4"/>
  <c r="B12" i="4"/>
  <c r="D13" i="4"/>
  <c r="C12" i="4"/>
  <c r="C15" i="4" s="1" a="1"/>
  <c r="G4" i="2"/>
  <c r="C6" i="5" l="1"/>
  <c r="C8" i="5" s="1"/>
  <c r="C4" i="5"/>
  <c r="C3" i="5"/>
  <c r="C5" i="5"/>
  <c r="L5" i="5"/>
  <c r="L3" i="5"/>
  <c r="L4" i="5"/>
  <c r="L6" i="5"/>
  <c r="K29" i="4"/>
  <c r="K28" i="4"/>
  <c r="K30" i="4"/>
  <c r="G32" i="4"/>
  <c r="G35" i="4" s="1"/>
  <c r="C36" i="4"/>
  <c r="B36" i="4"/>
  <c r="E36" i="4"/>
  <c r="C16" i="4"/>
  <c r="C17" i="4"/>
  <c r="C15" i="4"/>
  <c r="B14" i="3"/>
  <c r="D13" i="3"/>
  <c r="C14" i="3" s="1"/>
  <c r="E11" i="3"/>
  <c r="C7" i="2"/>
  <c r="J10" i="5" l="1"/>
  <c r="E10" i="5"/>
  <c r="F10" i="5"/>
  <c r="V10" i="5"/>
  <c r="G10" i="5"/>
  <c r="H10" i="5"/>
  <c r="D10" i="5"/>
  <c r="I10" i="5"/>
  <c r="K10" i="5"/>
  <c r="C10" i="5"/>
  <c r="L10" i="5"/>
  <c r="H8" i="5"/>
  <c r="G8" i="5"/>
  <c r="V8" i="5"/>
  <c r="F8" i="5"/>
  <c r="I8" i="5"/>
  <c r="E8" i="5"/>
  <c r="J8" i="5"/>
  <c r="D8" i="5"/>
  <c r="K8" i="5"/>
  <c r="L8" i="5"/>
  <c r="B5" i="5"/>
  <c r="B3" i="5"/>
  <c r="B4" i="5"/>
  <c r="B6" i="5"/>
  <c r="M7" i="5" s="1"/>
  <c r="B8" i="5"/>
  <c r="B9" i="5"/>
  <c r="B10" i="5"/>
  <c r="B11" i="5"/>
  <c r="M8" i="5"/>
  <c r="M5" i="5"/>
  <c r="M9" i="5"/>
  <c r="M11" i="5"/>
  <c r="M4" i="5"/>
  <c r="M6" i="5"/>
  <c r="M10" i="5"/>
  <c r="M3" i="5"/>
  <c r="D14" i="3"/>
  <c r="C15" i="3" s="1"/>
  <c r="B15" i="3"/>
  <c r="G6" i="2"/>
  <c r="G5" i="2"/>
  <c r="C8" i="2"/>
  <c r="I9" i="5" l="1"/>
  <c r="F9" i="5"/>
  <c r="V9" i="5"/>
  <c r="G9" i="5"/>
  <c r="E9" i="5"/>
  <c r="H9" i="5"/>
  <c r="J9" i="5"/>
  <c r="D9" i="5"/>
  <c r="K9" i="5"/>
  <c r="L9" i="5"/>
  <c r="C9" i="5"/>
  <c r="V7" i="5"/>
  <c r="H7" i="5"/>
  <c r="G7" i="5"/>
  <c r="I7" i="5"/>
  <c r="F7" i="5"/>
  <c r="E7" i="5"/>
  <c r="J7" i="5"/>
  <c r="K7" i="5"/>
  <c r="D7" i="5"/>
  <c r="C7" i="5"/>
  <c r="L7" i="5"/>
  <c r="B7" i="5"/>
  <c r="N12" i="5"/>
  <c r="K11" i="5"/>
  <c r="V11" i="5"/>
  <c r="E11" i="5"/>
  <c r="I11" i="5"/>
  <c r="C11" i="5"/>
  <c r="L11" i="5"/>
  <c r="G11" i="5"/>
  <c r="D11" i="5"/>
  <c r="J11" i="5"/>
  <c r="H11" i="5"/>
  <c r="F11" i="5"/>
  <c r="N5" i="5"/>
  <c r="N7" i="5"/>
  <c r="N9" i="5"/>
  <c r="N11" i="5"/>
  <c r="N6" i="5"/>
  <c r="N8" i="5"/>
  <c r="N10" i="5"/>
  <c r="N3" i="5"/>
  <c r="N4" i="5"/>
  <c r="D15" i="3"/>
  <c r="C16" i="3" s="1"/>
  <c r="B16" i="3"/>
  <c r="E12" i="3"/>
  <c r="C9" i="2"/>
  <c r="L12" i="5" l="1"/>
  <c r="H12" i="5"/>
  <c r="E12" i="5"/>
  <c r="M12" i="5"/>
  <c r="K12" i="5"/>
  <c r="F12" i="5"/>
  <c r="C12" i="5"/>
  <c r="J12" i="5"/>
  <c r="G12" i="5"/>
  <c r="V12" i="5"/>
  <c r="I12" i="5"/>
  <c r="D12" i="5"/>
  <c r="B12" i="5"/>
  <c r="O4" i="5"/>
  <c r="O6" i="5"/>
  <c r="O8" i="5"/>
  <c r="O10" i="5"/>
  <c r="O12" i="5"/>
  <c r="O3" i="5"/>
  <c r="O5" i="5"/>
  <c r="O7" i="5"/>
  <c r="O9" i="5"/>
  <c r="O11" i="5"/>
  <c r="O13" i="5"/>
  <c r="D16" i="3"/>
  <c r="C17" i="3" s="1"/>
  <c r="B17" i="3"/>
  <c r="C10" i="2"/>
  <c r="M13" i="5" l="1"/>
  <c r="F13" i="5"/>
  <c r="L13" i="5"/>
  <c r="N13" i="5"/>
  <c r="J13" i="5"/>
  <c r="E13" i="5"/>
  <c r="G13" i="5"/>
  <c r="D13" i="5"/>
  <c r="B13" i="5"/>
  <c r="V13" i="5"/>
  <c r="C13" i="5"/>
  <c r="K13" i="5"/>
  <c r="I13" i="5"/>
  <c r="H13" i="5"/>
  <c r="P4" i="5"/>
  <c r="P6" i="5"/>
  <c r="P8" i="5"/>
  <c r="P10" i="5"/>
  <c r="P12" i="5"/>
  <c r="P3" i="5"/>
  <c r="P5" i="5"/>
  <c r="P9" i="5"/>
  <c r="P13" i="5"/>
  <c r="P7" i="5"/>
  <c r="P11" i="5"/>
  <c r="P14" i="5"/>
  <c r="B18" i="3"/>
  <c r="D17" i="3"/>
  <c r="C18" i="3" s="1"/>
  <c r="E13" i="3"/>
  <c r="C11" i="2"/>
  <c r="N14" i="5" l="1"/>
  <c r="C14" i="5"/>
  <c r="D14" i="5"/>
  <c r="J14" i="5"/>
  <c r="H14" i="5"/>
  <c r="K14" i="5"/>
  <c r="I14" i="5"/>
  <c r="L14" i="5"/>
  <c r="F14" i="5"/>
  <c r="E14" i="5"/>
  <c r="B14" i="5"/>
  <c r="O14" i="5"/>
  <c r="G14" i="5"/>
  <c r="V14" i="5"/>
  <c r="M14" i="5"/>
  <c r="Q5" i="5"/>
  <c r="Q7" i="5"/>
  <c r="Q9" i="5"/>
  <c r="Q11" i="5"/>
  <c r="Q13" i="5"/>
  <c r="Q4" i="5"/>
  <c r="Q6" i="5"/>
  <c r="Q8" i="5"/>
  <c r="Q10" i="5"/>
  <c r="Q12" i="5"/>
  <c r="Q3" i="5"/>
  <c r="Q14" i="5"/>
  <c r="Q15" i="5"/>
  <c r="D18" i="3"/>
  <c r="C19" i="3" s="1"/>
  <c r="B19" i="3"/>
  <c r="D19" i="3" s="1"/>
  <c r="E14" i="3"/>
  <c r="C12" i="2"/>
  <c r="N15" i="5" l="1"/>
  <c r="D15" i="5"/>
  <c r="E15" i="5"/>
  <c r="M15" i="5"/>
  <c r="J15" i="5"/>
  <c r="B15" i="5"/>
  <c r="F15" i="5"/>
  <c r="G15" i="5"/>
  <c r="I15" i="5"/>
  <c r="V15" i="5"/>
  <c r="C15" i="5"/>
  <c r="H15" i="5"/>
  <c r="P15" i="5"/>
  <c r="O15" i="5"/>
  <c r="K15" i="5"/>
  <c r="L15" i="5"/>
  <c r="R5" i="5"/>
  <c r="R7" i="5"/>
  <c r="R9" i="5"/>
  <c r="R11" i="5"/>
  <c r="R13" i="5"/>
  <c r="R6" i="5"/>
  <c r="R10" i="5"/>
  <c r="R4" i="5"/>
  <c r="R8" i="5"/>
  <c r="R12" i="5"/>
  <c r="R3" i="5"/>
  <c r="R14" i="5"/>
  <c r="R15" i="5"/>
  <c r="R16" i="5"/>
  <c r="E15" i="3"/>
  <c r="C13" i="2"/>
  <c r="J16" i="5" l="1"/>
  <c r="I16" i="5"/>
  <c r="F16" i="5"/>
  <c r="D16" i="5"/>
  <c r="Q16" i="5"/>
  <c r="E16" i="5"/>
  <c r="L16" i="5"/>
  <c r="P16" i="5"/>
  <c r="C16" i="5"/>
  <c r="H16" i="5"/>
  <c r="M16" i="5"/>
  <c r="B16" i="5"/>
  <c r="G16" i="5"/>
  <c r="V16" i="5"/>
  <c r="N16" i="5"/>
  <c r="O16" i="5"/>
  <c r="K16" i="5"/>
  <c r="S4" i="5"/>
  <c r="S6" i="5"/>
  <c r="S8" i="5"/>
  <c r="S10" i="5"/>
  <c r="S12" i="5"/>
  <c r="S3" i="5"/>
  <c r="S5" i="5"/>
  <c r="S7" i="5"/>
  <c r="S9" i="5"/>
  <c r="S11" i="5"/>
  <c r="S13" i="5"/>
  <c r="S14" i="5"/>
  <c r="S15" i="5"/>
  <c r="S16" i="5"/>
  <c r="C14" i="2"/>
  <c r="T18" i="5" l="1"/>
  <c r="E17" i="5"/>
  <c r="B17" i="5"/>
  <c r="F17" i="5"/>
  <c r="M17" i="5"/>
  <c r="K17" i="5"/>
  <c r="C17" i="5"/>
  <c r="V17" i="5"/>
  <c r="O17" i="5"/>
  <c r="Q17" i="5"/>
  <c r="H17" i="5"/>
  <c r="G17" i="5"/>
  <c r="P17" i="5"/>
  <c r="I17" i="5"/>
  <c r="L17" i="5"/>
  <c r="J17" i="5"/>
  <c r="N17" i="5"/>
  <c r="D17" i="5"/>
  <c r="R17" i="5"/>
  <c r="S17" i="5"/>
  <c r="T4" i="5"/>
  <c r="T6" i="5"/>
  <c r="T8" i="5"/>
  <c r="T10" i="5"/>
  <c r="T12" i="5"/>
  <c r="T3" i="5"/>
  <c r="T7" i="5"/>
  <c r="T11" i="5"/>
  <c r="T13" i="5"/>
  <c r="T5" i="5"/>
  <c r="T9" i="5"/>
  <c r="T14" i="5"/>
  <c r="T15" i="5"/>
  <c r="T16" i="5"/>
  <c r="T17" i="5"/>
  <c r="E16" i="3"/>
  <c r="C15" i="2"/>
  <c r="D18" i="5" l="1"/>
  <c r="Q18" i="5"/>
  <c r="B18" i="5"/>
  <c r="F18" i="5"/>
  <c r="K18" i="5"/>
  <c r="I18" i="5"/>
  <c r="P18" i="5"/>
  <c r="C18" i="5"/>
  <c r="G18" i="5"/>
  <c r="M18" i="5"/>
  <c r="N18" i="5"/>
  <c r="R18" i="5"/>
  <c r="H18" i="5"/>
  <c r="V18" i="5"/>
  <c r="L18" i="5"/>
  <c r="S18" i="5"/>
  <c r="E18" i="5"/>
  <c r="J18" i="5"/>
  <c r="O18" i="5"/>
  <c r="U5" i="5"/>
  <c r="U7" i="5"/>
  <c r="U9" i="5"/>
  <c r="U11" i="5"/>
  <c r="U13" i="5"/>
  <c r="U4" i="5"/>
  <c r="U6" i="5"/>
  <c r="U8" i="5"/>
  <c r="U10" i="5"/>
  <c r="U12" i="5"/>
  <c r="U3" i="5"/>
  <c r="U14" i="5"/>
  <c r="U15" i="5"/>
  <c r="U16" i="5"/>
  <c r="U17" i="5"/>
  <c r="U18" i="5"/>
  <c r="U19" i="5"/>
  <c r="E17" i="3"/>
  <c r="C16" i="2"/>
  <c r="N19" i="5" l="1"/>
  <c r="P19" i="5"/>
  <c r="D19" i="5"/>
  <c r="I19" i="5"/>
  <c r="F19" i="5"/>
  <c r="H19" i="5"/>
  <c r="E19" i="5"/>
  <c r="T19" i="5"/>
  <c r="R19" i="5"/>
  <c r="M19" i="5"/>
  <c r="V19" i="5"/>
  <c r="O19" i="5"/>
  <c r="J19" i="5"/>
  <c r="K19" i="5"/>
  <c r="L19" i="5"/>
  <c r="C19" i="5"/>
  <c r="G19" i="5"/>
  <c r="Q19" i="5"/>
  <c r="S19" i="5"/>
  <c r="B19" i="5"/>
  <c r="E18" i="3"/>
  <c r="C17" i="2"/>
  <c r="T20" i="5" l="1"/>
  <c r="R20" i="5"/>
  <c r="D20" i="5"/>
  <c r="V20" i="5"/>
  <c r="L20" i="5"/>
  <c r="F20" i="5"/>
  <c r="S20" i="5"/>
  <c r="N20" i="5"/>
  <c r="B20" i="5"/>
  <c r="Q20" i="5"/>
  <c r="U20" i="5"/>
  <c r="P20" i="5"/>
  <c r="H20" i="5"/>
  <c r="G20" i="5"/>
  <c r="K20" i="5"/>
  <c r="C20" i="5"/>
  <c r="J20" i="5"/>
  <c r="E20" i="5"/>
  <c r="M20" i="5"/>
  <c r="O20" i="5"/>
  <c r="I20" i="5"/>
  <c r="E19" i="3"/>
  <c r="C18" i="2"/>
  <c r="U21" i="5" l="1"/>
  <c r="O21" i="5"/>
  <c r="C21" i="5"/>
  <c r="Q21" i="5"/>
  <c r="E21" i="5"/>
  <c r="F21" i="5"/>
  <c r="V21" i="5"/>
  <c r="P21" i="5"/>
  <c r="T21" i="5"/>
  <c r="G21" i="5"/>
  <c r="B21" i="5"/>
  <c r="J21" i="5"/>
  <c r="M21" i="5"/>
  <c r="N21" i="5"/>
  <c r="R21" i="5"/>
  <c r="H21" i="5"/>
  <c r="I21" i="5"/>
  <c r="L21" i="5"/>
  <c r="D21" i="5"/>
  <c r="K21" i="5"/>
  <c r="S21" i="5"/>
  <c r="C19" i="2"/>
  <c r="J22" i="5" l="1"/>
  <c r="M22" i="5"/>
  <c r="L22" i="5"/>
  <c r="R22" i="5"/>
  <c r="E22" i="5"/>
  <c r="D22" i="5"/>
  <c r="I22" i="5"/>
  <c r="T22" i="5"/>
  <c r="G22" i="5"/>
  <c r="N22" i="5"/>
  <c r="C22" i="5"/>
  <c r="V22" i="5"/>
  <c r="U22" i="5"/>
  <c r="S22" i="5"/>
  <c r="H22" i="5"/>
  <c r="B22" i="5"/>
  <c r="F22" i="5"/>
  <c r="P22" i="5"/>
  <c r="K22" i="5"/>
  <c r="O22" i="5"/>
  <c r="Q22" i="5"/>
  <c r="C20" i="2"/>
  <c r="I23" i="5" l="1"/>
  <c r="V23" i="5"/>
  <c r="J23" i="5"/>
  <c r="H23" i="5"/>
  <c r="G23" i="5"/>
  <c r="L23" i="5"/>
  <c r="K23" i="5"/>
  <c r="F23" i="5"/>
  <c r="E23" i="5"/>
  <c r="D23" i="5"/>
  <c r="C23" i="5"/>
  <c r="B23" i="5"/>
  <c r="M23" i="5"/>
  <c r="N23" i="5"/>
  <c r="O23" i="5"/>
  <c r="P23" i="5"/>
  <c r="Q23" i="5"/>
  <c r="R23" i="5"/>
  <c r="S23" i="5"/>
  <c r="T23" i="5"/>
  <c r="U23" i="5"/>
  <c r="C21" i="2"/>
  <c r="C22" i="2" l="1"/>
  <c r="C24" i="2" l="1"/>
  <c r="C23" i="2"/>
  <c r="C6" i="2" l="1"/>
  <c r="C5" i="2"/>
  <c r="C4" i="2" l="1"/>
  <c r="B10" i="1" l="1"/>
  <c r="B9" i="1"/>
  <c r="C13" i="1" l="1"/>
  <c r="B11" i="1"/>
  <c r="D13" i="1" l="1"/>
  <c r="C14" i="1"/>
  <c r="C21" i="1"/>
  <c r="B15" i="1" l="1"/>
  <c r="D14" i="1"/>
  <c r="E13" i="1"/>
  <c r="B22" i="1"/>
  <c r="D21" i="1"/>
  <c r="F13" i="1" l="1"/>
  <c r="E14" i="1"/>
  <c r="D15" i="1" s="1"/>
  <c r="C15" i="1"/>
  <c r="E21" i="1"/>
  <c r="G13" i="1" l="1"/>
  <c r="F14" i="1"/>
  <c r="F21" i="1"/>
  <c r="H13" i="1" l="1"/>
  <c r="G14" i="1"/>
  <c r="F15" i="1"/>
  <c r="E15" i="1"/>
  <c r="G21" i="1"/>
  <c r="I13" i="1" l="1"/>
  <c r="H14" i="1"/>
  <c r="H21" i="1"/>
  <c r="J13" i="1" l="1"/>
  <c r="I14" i="1"/>
  <c r="G15" i="1"/>
  <c r="I21" i="1"/>
  <c r="K13" i="1" l="1"/>
  <c r="J14" i="1"/>
  <c r="H15" i="1"/>
  <c r="J21" i="1"/>
  <c r="L13" i="1" l="1"/>
  <c r="K14" i="1"/>
  <c r="I15" i="1"/>
  <c r="K21" i="1"/>
  <c r="M13" i="1" l="1"/>
  <c r="M14" i="1" s="1"/>
  <c r="M15" i="1" s="1"/>
  <c r="L14" i="1"/>
  <c r="J15" i="1"/>
  <c r="L15" i="1" l="1"/>
  <c r="K15" i="1"/>
</calcChain>
</file>

<file path=xl/sharedStrings.xml><?xml version="1.0" encoding="utf-8"?>
<sst xmlns="http://schemas.openxmlformats.org/spreadsheetml/2006/main" count="49" uniqueCount="40">
  <si>
    <t>Таблица коэффициентов полинома</t>
  </si>
  <si>
    <t>x([A,B])</t>
  </si>
  <si>
    <t>P(x)</t>
  </si>
  <si>
    <t>x([-B,-A])</t>
  </si>
  <si>
    <t>Номер шага</t>
  </si>
  <si>
    <t>Очередное приближение к корню</t>
  </si>
  <si>
    <t>Проверка на точность</t>
  </si>
  <si>
    <t>Метод итераций</t>
  </si>
  <si>
    <t>Метод Ньютона</t>
  </si>
  <si>
    <t>a</t>
  </si>
  <si>
    <t>b</t>
  </si>
  <si>
    <t>c</t>
  </si>
  <si>
    <t>Метод обратной матрицы</t>
  </si>
  <si>
    <t>x1=</t>
  </si>
  <si>
    <t>x2=</t>
  </si>
  <si>
    <t>x3=</t>
  </si>
  <si>
    <t>Правило Крамера</t>
  </si>
  <si>
    <r>
      <rPr>
        <sz val="11"/>
        <color theme="1"/>
        <rFont val="Times New Roman"/>
        <family val="1"/>
        <charset val="204"/>
      </rPr>
      <t>∆</t>
    </r>
    <r>
      <rPr>
        <sz val="11"/>
        <color theme="1"/>
        <rFont val="Calibri"/>
        <family val="2"/>
        <charset val="204"/>
      </rPr>
      <t xml:space="preserve"> = </t>
    </r>
  </si>
  <si>
    <t xml:space="preserve">x1 = </t>
  </si>
  <si>
    <t>x2 =</t>
  </si>
  <si>
    <t>x3 =</t>
  </si>
  <si>
    <r>
      <rPr>
        <sz val="11"/>
        <color theme="1"/>
        <rFont val="Times New Roman"/>
        <family val="1"/>
        <charset val="204"/>
      </rPr>
      <t>∆1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</si>
  <si>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∆2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</si>
  <si>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∆3</t>
    </r>
    <r>
      <rPr>
        <sz val="11"/>
        <color theme="1"/>
        <rFont val="Calibri"/>
        <family val="2"/>
        <charset val="204"/>
      </rPr>
      <t xml:space="preserve"> = </t>
    </r>
  </si>
  <si>
    <t>Метод исключений Гаусса</t>
  </si>
  <si>
    <t>Матрица коэффициентов</t>
  </si>
  <si>
    <t>Правые части</t>
  </si>
  <si>
    <t xml:space="preserve">Решение </t>
  </si>
  <si>
    <t>Ведущий элемент</t>
  </si>
  <si>
    <t>Определитель</t>
  </si>
  <si>
    <t>Проверка метода обратной матрицы</t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</si>
  <si>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</si>
  <si>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</si>
  <si>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n-2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</si>
  <si>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n-3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</si>
  <si>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</si>
  <si>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 xml:space="preserve">A = </t>
  </si>
  <si>
    <t xml:space="preserve">B = </t>
  </si>
  <si>
    <t xml:space="preserve">h = </t>
  </si>
  <si>
    <t>Вариант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</si>
</sst>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E+00"/>
    <numFmt numFmtId="165" formatCode="0.00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164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6" borderId="0" xfId="0" applyFill="1" applyBorder="1"/>
    <xf numFmtId="0" fontId="0" fillId="6" borderId="1" xfId="0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1" fillId="0" borderId="1" xfId="0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7" borderId="0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Наглядное представление решения методом итераций</a:t>
            </a:r>
            <a:endParaRPr lang="ru-RU" sz="1100">
              <a:effectLst/>
            </a:endParaRPr>
          </a:p>
        </c:rich>
      </c:tx>
      <c:layout>
        <c:manualLayout>
          <c:xMode val="edge"/>
          <c:yMode val="edge"/>
          <c:x val="0.12105551609098418"/>
          <c:y val="1.851268591426071E-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8601851851851853"/>
          <c:w val="0.87129396325459318"/>
          <c:h val="0.70658209390492843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2'!$A$3:$A$25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'Задание 2'!$B$3:$B$25</c:f>
              <c:numCache>
                <c:formatCode>0.00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1.3068528194400546</c:v>
                </c:pt>
                <c:pt idx="3">
                  <c:v>1.7323781811555654</c:v>
                </c:pt>
                <c:pt idx="4">
                  <c:v>1.4505048642975389</c:v>
                </c:pt>
                <c:pt idx="5">
                  <c:v>1.6280883218947337</c:v>
                </c:pt>
                <c:pt idx="6">
                  <c:v>1.5125934821131339</c:v>
                </c:pt>
                <c:pt idx="7">
                  <c:v>1.5861742846312836</c:v>
                </c:pt>
                <c:pt idx="8">
                  <c:v>1.5386749933977057</c:v>
                </c:pt>
                <c:pt idx="9">
                  <c:v>1.5690783478233326</c:v>
                </c:pt>
                <c:pt idx="10">
                  <c:v>1.5495115926179679</c:v>
                </c:pt>
                <c:pt idx="11">
                  <c:v>1.56206022026056</c:v>
                </c:pt>
                <c:pt idx="12">
                  <c:v>1.5539943960218496</c:v>
                </c:pt>
                <c:pt idx="13">
                  <c:v>1.5591713542245924</c:v>
                </c:pt>
                <c:pt idx="14">
                  <c:v>1.5558455030556873</c:v>
                </c:pt>
                <c:pt idx="15">
                  <c:v>1.5579808702688038</c:v>
                </c:pt>
                <c:pt idx="16">
                  <c:v>1.5566093310165514</c:v>
                </c:pt>
                <c:pt idx="17">
                  <c:v>1.5574900499890449</c:v>
                </c:pt>
                <c:pt idx="18">
                  <c:v>1.5569244167909866</c:v>
                </c:pt>
                <c:pt idx="19">
                  <c:v>1.5572876524555461</c:v>
                </c:pt>
                <c:pt idx="20">
                  <c:v>1.557054376327826</c:v>
                </c:pt>
                <c:pt idx="21">
                  <c:v>1.5572041839764403</c:v>
                </c:pt>
                <c:pt idx="22">
                  <c:v>1.5571079763906992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DF6-47C5-94B0-4B21E0CB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25024"/>
        <c:axId val="74626944"/>
      </c:scatterChart>
      <c:valAx>
        <c:axId val="746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26944"/>
        <c:crosses val="autoZero"/>
        <c:crossBetween val="midCat"/>
        <c:majorUnit val="3"/>
        <c:minorUnit val="3"/>
      </c:valAx>
      <c:valAx>
        <c:axId val="74626944"/>
        <c:scaling>
          <c:orientation val="minMax"/>
          <c:max val="2.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Наглядное представление решения методом Ньютона</a:t>
            </a:r>
            <a:endParaRPr lang="ru-RU" sz="1100">
              <a:effectLst/>
            </a:endParaRPr>
          </a:p>
        </c:rich>
      </c:tx>
      <c:layout>
        <c:manualLayout>
          <c:xMode val="edge"/>
          <c:yMode val="edge"/>
          <c:x val="0.11827777777777777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675925925925923"/>
          <c:w val="0.89653018372703408"/>
          <c:h val="0.71584135316418773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2'!$E$3:$E$8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'Задание 2'!$F$3:$F$8</c:f>
              <c:numCache>
                <c:formatCode>General</c:formatCode>
                <c:ptCount val="6"/>
                <c:pt idx="0">
                  <c:v>1.6</c:v>
                </c:pt>
                <c:pt idx="1">
                  <c:v>1.5569208435410857</c:v>
                </c:pt>
                <c:pt idx="2">
                  <c:v>1.5571455926535864</c:v>
                </c:pt>
                <c:pt idx="3">
                  <c:v>1.5571455989976115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272-414E-B4D6-5A5E85809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58080"/>
        <c:axId val="76160000"/>
      </c:scatterChart>
      <c:valAx>
        <c:axId val="7615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160000"/>
        <c:crosses val="autoZero"/>
        <c:crossBetween val="midCat"/>
      </c:valAx>
      <c:valAx>
        <c:axId val="761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15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Наглядное представление решения метод бисекции</a:t>
            </a:r>
            <a:endParaRPr lang="ru-RU" sz="1100">
              <a:effectLst/>
            </a:endParaRPr>
          </a:p>
        </c:rich>
      </c:tx>
      <c:layout>
        <c:manualLayout>
          <c:xMode val="edge"/>
          <c:yMode val="edge"/>
          <c:x val="0.14149999999999999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594925634295707E-2"/>
          <c:y val="0.19527777777777777"/>
          <c:w val="0.88396062992125979"/>
          <c:h val="0.697322834645669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3'!$B$4</c:f>
              <c:strCache>
                <c:ptCount val="1"/>
                <c:pt idx="0">
                  <c:v>a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3'!$A$5:$A$19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'Задание 3'!$B$5:$B$19</c:f>
              <c:numCache>
                <c:formatCode>General</c:formatCode>
                <c:ptCount val="15"/>
                <c:pt idx="0">
                  <c:v>0.1</c:v>
                </c:pt>
                <c:pt idx="1">
                  <c:v>0.1</c:v>
                </c:pt>
                <c:pt idx="2">
                  <c:v>1.05</c:v>
                </c:pt>
                <c:pt idx="3">
                  <c:v>0.57500000000000007</c:v>
                </c:pt>
                <c:pt idx="4">
                  <c:v>0.8125</c:v>
                </c:pt>
                <c:pt idx="5">
                  <c:v>0.69375000000000009</c:v>
                </c:pt>
                <c:pt idx="6">
                  <c:v>0.75312500000000004</c:v>
                </c:pt>
                <c:pt idx="7">
                  <c:v>0.72343750000000007</c:v>
                </c:pt>
                <c:pt idx="8">
                  <c:v>0.73828125</c:v>
                </c:pt>
                <c:pt idx="9">
                  <c:v>0.73085937500000009</c:v>
                </c:pt>
                <c:pt idx="10">
                  <c:v>0.73457031250000004</c:v>
                </c:pt>
                <c:pt idx="11">
                  <c:v>0.73271484375000007</c:v>
                </c:pt>
                <c:pt idx="12">
                  <c:v>0.733642578125</c:v>
                </c:pt>
                <c:pt idx="13">
                  <c:v>0.73317871093750009</c:v>
                </c:pt>
                <c:pt idx="14">
                  <c:v>0.73341064453125004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7B0-40F3-A18C-94C4D72B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80864"/>
        <c:axId val="76203520"/>
      </c:scatterChart>
      <c:valAx>
        <c:axId val="76180864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203520"/>
        <c:crosses val="autoZero"/>
        <c:crossBetween val="midCat"/>
      </c:valAx>
      <c:valAx>
        <c:axId val="76203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18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Окрестности корней </a:t>
            </a:r>
            <a:r>
              <a:rPr lang="en-US" sz="1800" b="0" i="0" baseline="0">
                <a:effectLst/>
              </a:rPr>
              <a:t>X</a:t>
            </a:r>
            <a:r>
              <a:rPr lang="ru-RU" sz="1800" b="0" i="0" baseline="0">
                <a:effectLst/>
              </a:rPr>
              <a:t> и </a:t>
            </a:r>
            <a:r>
              <a:rPr lang="en-US" sz="1800" b="0" i="0" baseline="0">
                <a:effectLst/>
              </a:rPr>
              <a:t>Y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0"/>
      <c:rotY val="22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720700532020731E-2"/>
          <c:y val="0.18655573053368329"/>
          <c:w val="0.84925796536048126"/>
          <c:h val="0.47112475940507437"/>
        </c:manualLayout>
      </c:layout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'Задание 5'!$B$3:$B$23</c:f>
              <c:numCache>
                <c:formatCode>General</c:formatCode>
                <c:ptCount val="21"/>
                <c:pt idx="0">
                  <c:v>19.178215115320004</c:v>
                </c:pt>
                <c:pt idx="1">
                  <c:v>19.923761826431409</c:v>
                </c:pt>
                <c:pt idx="2">
                  <c:v>20.346064240258436</c:v>
                </c:pt>
                <c:pt idx="3">
                  <c:v>20.418119616463549</c:v>
                </c:pt>
                <c:pt idx="4">
                  <c:v>20.150414953249776</c:v>
                </c:pt>
                <c:pt idx="5">
                  <c:v>19.589574811140817</c:v>
                </c:pt>
                <c:pt idx="6">
                  <c:v>18.81241872030445</c:v>
                </c:pt>
                <c:pt idx="7">
                  <c:v>17.916442969060384</c:v>
                </c:pt>
                <c:pt idx="8">
                  <c:v>17.008330675646306</c:v>
                </c:pt>
                <c:pt idx="9">
                  <c:v>16.192378484922585</c:v>
                </c:pt>
                <c:pt idx="10">
                  <c:v>15.560656824468158</c:v>
                </c:pt>
                <c:pt idx="11">
                  <c:v>15.186312054671927</c:v>
                </c:pt>
                <c:pt idx="12">
                  <c:v>15.120757607584707</c:v>
                </c:pt>
                <c:pt idx="13">
                  <c:v>15.394720784364946</c:v>
                </c:pt>
                <c:pt idx="14">
                  <c:v>16.022367966004254</c:v>
                </c:pt>
                <c:pt idx="15">
                  <c:v>17.00717050624489</c:v>
                </c:pt>
                <c:pt idx="16">
                  <c:v>18.347905471362665</c:v>
                </c:pt>
                <c:pt idx="17">
                  <c:v>20.043259093794454</c:v>
                </c:pt>
                <c:pt idx="18">
                  <c:v>22.093896571922823</c:v>
                </c:pt>
                <c:pt idx="19">
                  <c:v>24.50149495123333</c:v>
                </c:pt>
                <c:pt idx="20">
                  <c:v>27.2649737232171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3D-4702-8844-62A39DE215E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'Задание 5'!$C$3:$C$23</c:f>
              <c:numCache>
                <c:formatCode>General</c:formatCode>
                <c:ptCount val="21"/>
                <c:pt idx="0">
                  <c:v>17.307194474067369</c:v>
                </c:pt>
                <c:pt idx="1">
                  <c:v>17.956474586130842</c:v>
                </c:pt>
                <c:pt idx="2">
                  <c:v>18.30434330874694</c:v>
                </c:pt>
                <c:pt idx="3">
                  <c:v>18.324621946656681</c:v>
                </c:pt>
                <c:pt idx="4">
                  <c:v>18.027479365682925</c:v>
                </c:pt>
                <c:pt idx="5">
                  <c:v>17.458095854132036</c:v>
                </c:pt>
                <c:pt idx="6">
                  <c:v>16.690793338458871</c:v>
                </c:pt>
                <c:pt idx="7">
                  <c:v>15.819643080438354</c:v>
                </c:pt>
                <c:pt idx="8">
                  <c:v>14.947148410636121</c:v>
                </c:pt>
                <c:pt idx="9">
                  <c:v>14.172882135674392</c:v>
                </c:pt>
                <c:pt idx="10">
                  <c:v>13.583884931449525</c:v>
                </c:pt>
                <c:pt idx="11">
                  <c:v>13.248221051988173</c:v>
                </c:pt>
                <c:pt idx="12">
                  <c:v>13.212425666356918</c:v>
                </c:pt>
                <c:pt idx="13">
                  <c:v>13.502797578056917</c:v>
                </c:pt>
                <c:pt idx="14">
                  <c:v>14.129747684225002</c:v>
                </c:pt>
                <c:pt idx="15">
                  <c:v>15.09385418919911</c:v>
                </c:pt>
                <c:pt idx="16">
                  <c:v>16.392009193129372</c:v>
                </c:pt>
                <c:pt idx="17">
                  <c:v>18.022117170114349</c:v>
                </c:pt>
                <c:pt idx="18">
                  <c:v>19.985204177819593</c:v>
                </c:pt>
                <c:pt idx="19">
                  <c:v>22.284432547074033</c:v>
                </c:pt>
                <c:pt idx="20">
                  <c:v>24.921256604885883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3D-4702-8844-62A39DE215E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'Задание 5'!$D$3:$D$23</c:f>
              <c:numCache>
                <c:formatCode>General</c:formatCode>
                <c:ptCount val="21"/>
                <c:pt idx="0">
                  <c:v>15.600893818105824</c:v>
                </c:pt>
                <c:pt idx="1">
                  <c:v>16.136927394461228</c:v>
                </c:pt>
                <c:pt idx="2">
                  <c:v>16.393382489206282</c:v>
                </c:pt>
                <c:pt idx="3">
                  <c:v>16.344904452160506</c:v>
                </c:pt>
                <c:pt idx="4">
                  <c:v>16.001344016766652</c:v>
                </c:pt>
                <c:pt idx="5">
                  <c:v>15.406437199113684</c:v>
                </c:pt>
                <c:pt idx="6">
                  <c:v>14.632008321943596</c:v>
                </c:pt>
                <c:pt idx="7">
                  <c:v>13.768703620486491</c:v>
                </c:pt>
                <c:pt idx="8">
                  <c:v>12.91484663763597</c:v>
                </c:pt>
                <c:pt idx="9">
                  <c:v>12.165286341776104</c:v>
                </c:pt>
                <c:pt idx="10">
                  <c:v>11.602033657120655</c:v>
                </c:pt>
                <c:pt idx="11">
                  <c:v>11.288070731334052</c:v>
                </c:pt>
                <c:pt idx="12">
                  <c:v>11.265054470498633</c:v>
                </c:pt>
                <c:pt idx="13">
                  <c:v>11.554855180458251</c:v>
                </c:pt>
                <c:pt idx="14">
                  <c:v>12.164128274494985</c:v>
                </c:pt>
                <c:pt idx="15">
                  <c:v>13.090558807542429</c:v>
                </c:pt>
                <c:pt idx="16">
                  <c:v>14.329153913625049</c:v>
                </c:pt>
                <c:pt idx="17">
                  <c:v>15.877036308503087</c:v>
                </c:pt>
                <c:pt idx="18">
                  <c:v>17.735592909125064</c:v>
                </c:pt>
                <c:pt idx="19">
                  <c:v>19.909471331663298</c:v>
                </c:pt>
                <c:pt idx="20">
                  <c:v>22.402660738643107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53D-4702-8844-62A39DE215E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'Задание 5'!$E$3:$E$23</c:f>
              <c:numCache>
                <c:formatCode>General</c:formatCode>
                <c:ptCount val="21"/>
                <c:pt idx="0">
                  <c:v>14.086674941996028</c:v>
                </c:pt>
                <c:pt idx="1">
                  <c:v>14.496266325137821</c:v>
                </c:pt>
                <c:pt idx="2">
                  <c:v>14.648112134506269</c:v>
                </c:pt>
                <c:pt idx="3">
                  <c:v>14.517681764999429</c:v>
                </c:pt>
                <c:pt idx="4">
                  <c:v>14.11450781767992</c:v>
                </c:pt>
                <c:pt idx="5">
                  <c:v>13.480882036419324</c:v>
                </c:pt>
                <c:pt idx="6">
                  <c:v>12.686131140246765</c:v>
                </c:pt>
                <c:pt idx="7">
                  <c:v>11.81747633784752</c:v>
                </c:pt>
                <c:pt idx="8">
                  <c:v>10.969061384443167</c:v>
                </c:pt>
                <c:pt idx="9">
                  <c:v>10.231011410179606</c:v>
                </c:pt>
                <c:pt idx="10">
                  <c:v>9.6803075875880324</c:v>
                </c:pt>
                <c:pt idx="11">
                  <c:v>9.3748499579706284</c:v>
                </c:pt>
                <c:pt idx="12">
                  <c:v>9.3514171644254915</c:v>
                </c:pt>
                <c:pt idx="13">
                  <c:v>9.627451015139183</c:v>
                </c:pt>
                <c:pt idx="14">
                  <c:v>10.205851439539012</c:v>
                </c:pt>
                <c:pt idx="15">
                  <c:v>11.081410343154245</c:v>
                </c:pt>
                <c:pt idx="16">
                  <c:v>12.247249893883671</c:v>
                </c:pt>
                <c:pt idx="17">
                  <c:v>13.699711049149215</c:v>
                </c:pt>
                <c:pt idx="18">
                  <c:v>15.44054158518238</c:v>
                </c:pt>
                <c:pt idx="19">
                  <c:v>17.47587440349886</c:v>
                </c:pt>
                <c:pt idx="20">
                  <c:v>19.812233502141069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53D-4702-8844-62A39DE215E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'Задание 5'!$F$3:$F$23</c:f>
              <c:numCache>
                <c:formatCode>General</c:formatCode>
                <c:ptCount val="21"/>
                <c:pt idx="0">
                  <c:v>12.782535018629197</c:v>
                </c:pt>
                <c:pt idx="1">
                  <c:v>13.056938046866888</c:v>
                </c:pt>
                <c:pt idx="2">
                  <c:v>13.095428409168244</c:v>
                </c:pt>
                <c:pt idx="3">
                  <c:v>12.874299545509857</c:v>
                </c:pt>
                <c:pt idx="4">
                  <c:v>12.402765924574208</c:v>
                </c:pt>
                <c:pt idx="5">
                  <c:v>11.7216750180155</c:v>
                </c:pt>
                <c:pt idx="6">
                  <c:v>10.897855941149986</c:v>
                </c:pt>
                <c:pt idx="7">
                  <c:v>10.015104876118116</c:v>
                </c:pt>
                <c:pt idx="8">
                  <c:v>9.1633857904694374</c:v>
                </c:pt>
                <c:pt idx="9">
                  <c:v>8.4280999761116995</c:v>
                </c:pt>
                <c:pt idx="10">
                  <c:v>7.8811988538935172</c:v>
                </c:pt>
                <c:pt idx="11">
                  <c:v>7.5755003587548195</c:v>
                </c:pt>
                <c:pt idx="12">
                  <c:v>7.5429048708094832</c:v>
                </c:pt>
                <c:pt idx="13">
                  <c:v>7.7964257005867577</c:v>
                </c:pt>
                <c:pt idx="14">
                  <c:v>8.3352072936592023</c:v>
                </c:pt>
                <c:pt idx="15">
                  <c:v>9.1511484061517336</c:v>
                </c:pt>
                <c:pt idx="16">
                  <c:v>10.235486239837483</c:v>
                </c:pt>
                <c:pt idx="17">
                  <c:v>11.583779993800047</c:v>
                </c:pt>
                <c:pt idx="18">
                  <c:v>13.198138303553916</c:v>
                </c:pt>
                <c:pt idx="19">
                  <c:v>15.086179355958151</c:v>
                </c:pt>
                <c:pt idx="20">
                  <c:v>17.256961984572275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53D-4702-8844-62A39DE215E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'Задание 5'!$G$3:$G$23</c:f>
              <c:numCache>
                <c:formatCode>General</c:formatCode>
                <c:ptCount val="21"/>
                <c:pt idx="0">
                  <c:v>11.69058275392694</c:v>
                </c:pt>
                <c:pt idx="1">
                  <c:v>11.825941671015361</c:v>
                </c:pt>
                <c:pt idx="2">
                  <c:v>11.747220830004458</c:v>
                </c:pt>
                <c:pt idx="3">
                  <c:v>11.431537715949357</c:v>
                </c:pt>
                <c:pt idx="4">
                  <c:v>10.887788665152401</c:v>
                </c:pt>
                <c:pt idx="5">
                  <c:v>10.155376877050411</c:v>
                </c:pt>
                <c:pt idx="6">
                  <c:v>9.2986338632467742</c:v>
                </c:pt>
                <c:pt idx="7">
                  <c:v>8.3979307793371127</c:v>
                </c:pt>
                <c:pt idx="8">
                  <c:v>7.5390518051989464</c:v>
                </c:pt>
                <c:pt idx="9">
                  <c:v>6.8026743945018637</c:v>
                </c:pt>
                <c:pt idx="10">
                  <c:v>6.255720216411901</c:v>
                </c:pt>
                <c:pt idx="11">
                  <c:v>5.9459250995067503</c:v>
                </c:pt>
                <c:pt idx="12">
                  <c:v>5.9003111609160417</c:v>
                </c:pt>
                <c:pt idx="13">
                  <c:v>6.1274632135117342</c:v>
                </c:pt>
                <c:pt idx="14">
                  <c:v>6.6227702190116231</c:v>
                </c:pt>
                <c:pt idx="15">
                  <c:v>7.3752377841362886</c:v>
                </c:pt>
                <c:pt idx="16">
                  <c:v>8.3742181445331916</c:v>
                </c:pt>
                <c:pt idx="17">
                  <c:v>9.614488740947607</c:v>
                </c:pt>
                <c:pt idx="18">
                  <c:v>11.098519068177012</c:v>
                </c:pt>
                <c:pt idx="19">
                  <c:v>12.835412598423838</c:v>
                </c:pt>
                <c:pt idx="20">
                  <c:v>14.836763000764718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53D-4702-8844-62A39DE215E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'Задание 5'!$H$3:$H$23</c:f>
              <c:numCache>
                <c:formatCode>General</c:formatCode>
                <c:ptCount val="21"/>
                <c:pt idx="0">
                  <c:v>10.793386646856494</c:v>
                </c:pt>
                <c:pt idx="1">
                  <c:v>10.790930477553967</c:v>
                </c:pt>
                <c:pt idx="2">
                  <c:v>10.596227457989126</c:v>
                </c:pt>
                <c:pt idx="3">
                  <c:v>10.187219118295634</c:v>
                </c:pt>
                <c:pt idx="4">
                  <c:v>9.5724836623956868</c:v>
                </c:pt>
                <c:pt idx="5">
                  <c:v>8.7899800175087375</c:v>
                </c:pt>
                <c:pt idx="6">
                  <c:v>7.9015420915252985</c:v>
                </c:pt>
                <c:pt idx="7">
                  <c:v>6.9841160134961617</c:v>
                </c:pt>
                <c:pt idx="8">
                  <c:v>6.1193061756268268</c:v>
                </c:pt>
                <c:pt idx="9">
                  <c:v>5.3830661933487205</c:v>
                </c:pt>
                <c:pt idx="10">
                  <c:v>4.8372879841452994</c:v>
                </c:pt>
                <c:pt idx="11">
                  <c:v>4.524625270232014</c:v>
                </c:pt>
                <c:pt idx="12">
                  <c:v>4.467221905754255</c:v>
                </c:pt>
                <c:pt idx="13">
                  <c:v>4.6692342059266885</c:v>
                </c:pt>
                <c:pt idx="14">
                  <c:v>5.1222956486123419</c:v>
                </c:pt>
                <c:pt idx="15">
                  <c:v>5.81251869112746</c:v>
                </c:pt>
                <c:pt idx="16">
                  <c:v>6.7273706029938376</c:v>
                </c:pt>
                <c:pt idx="17">
                  <c:v>7.8608470666184278</c:v>
                </c:pt>
                <c:pt idx="18">
                  <c:v>9.2157784360816883</c:v>
                </c:pt>
                <c:pt idx="19">
                  <c:v>10.802753468929424</c:v>
                </c:pt>
                <c:pt idx="20">
                  <c:v>12.635900669755374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53D-4702-8844-62A39DE215E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'Задание 5'!$I$3:$I$23</c:f>
              <c:numCache>
                <c:formatCode>General</c:formatCode>
                <c:ptCount val="21"/>
                <c:pt idx="0">
                  <c:v>10.054085362420398</c:v>
                </c:pt>
                <c:pt idx="1">
                  <c:v>9.9200659551557955</c:v>
                </c:pt>
                <c:pt idx="2">
                  <c:v>9.6156326054658887</c:v>
                </c:pt>
                <c:pt idx="3">
                  <c:v>9.1195508885628715</c:v>
                </c:pt>
                <c:pt idx="4">
                  <c:v>8.4400808759888086</c:v>
                </c:pt>
                <c:pt idx="5">
                  <c:v>7.6137372227457751</c:v>
                </c:pt>
                <c:pt idx="6">
                  <c:v>6.6998562330114018</c:v>
                </c:pt>
                <c:pt idx="7">
                  <c:v>5.7719590092916677</c:v>
                </c:pt>
                <c:pt idx="8">
                  <c:v>4.9074701561200342</c:v>
                </c:pt>
                <c:pt idx="9">
                  <c:v>4.1776194506897761</c:v>
                </c:pt>
                <c:pt idx="10">
                  <c:v>3.6392690588017671</c:v>
                </c:pt>
                <c:pt idx="11">
                  <c:v>3.3299905963092185</c:v>
                </c:pt>
                <c:pt idx="12">
                  <c:v>3.2670496543732823</c:v>
                </c:pt>
                <c:pt idx="13">
                  <c:v>3.4501740505513263</c:v>
                </c:pt>
                <c:pt idx="14">
                  <c:v>3.8672417788516169</c:v>
                </c:pt>
                <c:pt idx="15">
                  <c:v>4.5014721471860613</c:v>
                </c:pt>
                <c:pt idx="16">
                  <c:v>5.3384474589507853</c:v>
                </c:pt>
                <c:pt idx="17">
                  <c:v>6.3713816382144222</c:v>
                </c:pt>
                <c:pt idx="18">
                  <c:v>7.6034658983404073</c:v>
                </c:pt>
                <c:pt idx="19">
                  <c:v>9.04677428221793</c:v>
                </c:pt>
                <c:pt idx="20">
                  <c:v>10.71797012995782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53D-4702-8844-62A39DE215E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'Задание 5'!$J$3:$J$23</c:f>
              <c:numCache>
                <c:formatCode>General</c:formatCode>
                <c:ptCount val="21"/>
                <c:pt idx="0">
                  <c:v>9.4204076424534584</c:v>
                </c:pt>
                <c:pt idx="1">
                  <c:v>9.1657845024819622</c:v>
                </c:pt>
                <c:pt idx="2">
                  <c:v>8.7625803279221781</c:v>
                </c:pt>
                <c:pt idx="3">
                  <c:v>8.1903847390648217</c:v>
                </c:pt>
                <c:pt idx="4">
                  <c:v>7.4571396750718302</c:v>
                </c:pt>
                <c:pt idx="5">
                  <c:v>6.5979155187278922</c:v>
                </c:pt>
                <c:pt idx="6">
                  <c:v>5.669550970497772</c:v>
                </c:pt>
                <c:pt idx="7">
                  <c:v>4.7421421063426203</c:v>
                </c:pt>
                <c:pt idx="8">
                  <c:v>3.8889337431238777</c:v>
                </c:pt>
                <c:pt idx="9">
                  <c:v>3.1764318197966528</c:v>
                </c:pt>
                <c:pt idx="10">
                  <c:v>2.6564687504792408</c:v>
                </c:pt>
                <c:pt idx="11">
                  <c:v>2.3615340446626139</c:v>
                </c:pt>
                <c:pt idx="12">
                  <c:v>2.3040150305236855</c:v>
                </c:pt>
                <c:pt idx="13">
                  <c:v>2.4792110279625263</c:v>
                </c:pt>
                <c:pt idx="14">
                  <c:v>2.8712445471326382</c:v>
                </c:pt>
                <c:pt idx="15">
                  <c:v>3.4604417465415951</c:v>
                </c:pt>
                <c:pt idx="16">
                  <c:v>4.2304999634598479</c:v>
                </c:pt>
                <c:pt idx="17">
                  <c:v>5.1738513636177164</c:v>
                </c:pt>
                <c:pt idx="18">
                  <c:v>6.2940480196616146</c:v>
                </c:pt>
                <c:pt idx="19">
                  <c:v>7.6046492598241064</c:v>
                </c:pt>
                <c:pt idx="20">
                  <c:v>9.1248532597331238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53D-4702-8844-62A39DE215E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'Задание 5'!$K$3:$K$23</c:f>
              <c:numCache>
                <c:formatCode>General</c:formatCode>
                <c:ptCount val="21"/>
                <c:pt idx="0">
                  <c:v>8.8319687033017331</c:v>
                </c:pt>
                <c:pt idx="1">
                  <c:v>8.4718565044727647</c:v>
                </c:pt>
                <c:pt idx="2">
                  <c:v>7.9849961788925174</c:v>
                </c:pt>
                <c:pt idx="3">
                  <c:v>7.351801391930243</c:v>
                </c:pt>
                <c:pt idx="4">
                  <c:v>6.5798959503677379</c:v>
                </c:pt>
                <c:pt idx="5">
                  <c:v>5.7029059647723184</c:v>
                </c:pt>
                <c:pt idx="6">
                  <c:v>4.7751725318958709</c:v>
                </c:pt>
                <c:pt idx="7">
                  <c:v>3.8633667011547224</c:v>
                </c:pt>
                <c:pt idx="8">
                  <c:v>3.0365535017382852</c:v>
                </c:pt>
                <c:pt idx="9">
                  <c:v>2.356515034363512</c:v>
                </c:pt>
                <c:pt idx="10">
                  <c:v>1.8700539614661167</c:v>
                </c:pt>
                <c:pt idx="11">
                  <c:v>1.6045776861748302</c:v>
                </c:pt>
                <c:pt idx="12">
                  <c:v>1.5675952736823273</c:v>
                </c:pt>
                <c:pt idx="13">
                  <c:v>1.7499775462313831</c:v>
                </c:pt>
                <c:pt idx="14">
                  <c:v>2.1320915301207353</c:v>
                </c:pt>
                <c:pt idx="15">
                  <c:v>2.6913702344536214</c:v>
                </c:pt>
                <c:pt idx="16">
                  <c:v>3.4096260303748243</c:v>
                </c:pt>
                <c:pt idx="17">
                  <c:v>4.2785093252763424</c:v>
                </c:pt>
                <c:pt idx="18">
                  <c:v>5.3019330510875706</c:v>
                </c:pt>
                <c:pt idx="19">
                  <c:v>6.4949418213844492</c:v>
                </c:pt>
                <c:pt idx="20">
                  <c:v>7.8792686473120126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53D-4702-8844-62A39DE215E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'Задание 5'!$L$3:$L$23</c:f>
              <c:numCache>
                <c:formatCode>General</c:formatCode>
                <c:ptCount val="21"/>
                <c:pt idx="0">
                  <c:v>8.2295472020705596</c:v>
                </c:pt>
                <c:pt idx="1">
                  <c:v>7.782453829126295</c:v>
                </c:pt>
                <c:pt idx="2">
                  <c:v>7.2304452372677694</c:v>
                </c:pt>
                <c:pt idx="3">
                  <c:v>6.5547591369427538</c:v>
                </c:pt>
                <c:pt idx="4">
                  <c:v>5.7627012025529183</c:v>
                </c:pt>
                <c:pt idx="5">
                  <c:v>4.8864532724481933</c:v>
                </c:pt>
                <c:pt idx="6">
                  <c:v>3.9778588396675976</c:v>
                </c:pt>
                <c:pt idx="7">
                  <c:v>3.1001639270826322</c:v>
                </c:pt>
                <c:pt idx="8">
                  <c:v>2.3182537762106827</c:v>
                </c:pt>
                <c:pt idx="9">
                  <c:v>1.689186649530541</c:v>
                </c:pt>
                <c:pt idx="10">
                  <c:v>1.254735457795342</c:v>
                </c:pt>
                <c:pt idx="11">
                  <c:v>1.0372254977715758</c:v>
                </c:pt>
                <c:pt idx="12">
                  <c:v>1.0392875716676799</c:v>
                </c:pt>
                <c:pt idx="13">
                  <c:v>1.2473640040691305</c:v>
                </c:pt>
                <c:pt idx="14">
                  <c:v>1.6380663374199029</c:v>
                </c:pt>
                <c:pt idx="15">
                  <c:v>2.1859344314188989</c:v>
                </c:pt>
                <c:pt idx="16">
                  <c:v>2.8708956910852312</c:v>
                </c:pt>
                <c:pt idx="17">
                  <c:v>3.68381876547258</c:v>
                </c:pt>
                <c:pt idx="18">
                  <c:v>4.6289774457933186</c:v>
                </c:pt>
                <c:pt idx="19">
                  <c:v>5.7229016309667644</c:v>
                </c:pt>
                <c:pt idx="20">
                  <c:v>6.9898591676550534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53D-4702-8844-62A39DE215EE}"/>
            </c:ext>
          </c:extLst>
        </c:ser>
        <c:ser>
          <c:idx val="11"/>
          <c:order val="11"/>
          <c:val>
            <c:numRef>
              <c:f>'Задание 5'!$M$3:$M$23</c:f>
              <c:numCache>
                <c:formatCode>General</c:formatCode>
                <c:ptCount val="21"/>
                <c:pt idx="0">
                  <c:v>7.5646341041666902</c:v>
                </c:pt>
                <c:pt idx="1">
                  <c:v>7.0515276372196922</c:v>
                </c:pt>
                <c:pt idx="2">
                  <c:v>6.4553388591954386</c:v>
                </c:pt>
                <c:pt idx="3">
                  <c:v>5.7581295256202454</c:v>
                </c:pt>
                <c:pt idx="4">
                  <c:v>4.9668871785156341</c:v>
                </c:pt>
                <c:pt idx="5">
                  <c:v>4.1123493840141645</c:v>
                </c:pt>
                <c:pt idx="6">
                  <c:v>3.2438620314419788</c:v>
                </c:pt>
                <c:pt idx="7">
                  <c:v>2.4212461171257544</c:v>
                </c:pt>
                <c:pt idx="8">
                  <c:v>1.7052070949108493</c:v>
                </c:pt>
                <c:pt idx="9">
                  <c:v>1.1480793890378975</c:v>
                </c:pt>
                <c:pt idx="10">
                  <c:v>0.7866061585774522</c:v>
                </c:pt>
                <c:pt idx="11">
                  <c:v>0.63803059393376482</c:v>
                </c:pt>
                <c:pt idx="12">
                  <c:v>0.70010523433103189</c:v>
                </c:pt>
                <c:pt idx="13">
                  <c:v>0.95484390669743557</c:v>
                </c:pt>
                <c:pt idx="14">
                  <c:v>1.3751026696221864</c:v>
                </c:pt>
                <c:pt idx="15">
                  <c:v>1.9325282333998497</c:v>
                </c:pt>
                <c:pt idx="16">
                  <c:v>2.6051630369238694</c:v>
                </c:pt>
                <c:pt idx="17">
                  <c:v>3.3830939709096066</c:v>
                </c:pt>
                <c:pt idx="18">
                  <c:v>4.2709556858524129</c:v>
                </c:pt>
                <c:pt idx="19">
                  <c:v>5.2867633660149842</c:v>
                </c:pt>
                <c:pt idx="20">
                  <c:v>6.4573196935765571</c:v>
                </c:pt>
              </c:numCache>
            </c:numRef>
          </c:val>
        </c:ser>
        <c:ser>
          <c:idx val="12"/>
          <c:order val="12"/>
          <c:val>
            <c:numRef>
              <c:f>'Задание 5'!$N$3:$N$23</c:f>
              <c:numCache>
                <c:formatCode>General</c:formatCode>
                <c:ptCount val="21"/>
                <c:pt idx="0">
                  <c:v>6.8074652629272681</c:v>
                </c:pt>
                <c:pt idx="1">
                  <c:v>6.2507169390958968</c:v>
                </c:pt>
                <c:pt idx="2">
                  <c:v>5.6327192120242833</c:v>
                </c:pt>
                <c:pt idx="3">
                  <c:v>4.9363578823172674</c:v>
                </c:pt>
                <c:pt idx="4">
                  <c:v>4.168302359616245</c:v>
                </c:pt>
                <c:pt idx="5">
                  <c:v>3.3578459378363901</c:v>
                </c:pt>
                <c:pt idx="6">
                  <c:v>2.5518369025909782</c:v>
                </c:pt>
                <c:pt idx="7">
                  <c:v>1.8066712236618565</c:v>
                </c:pt>
                <c:pt idx="8">
                  <c:v>1.1788745672223573</c:v>
                </c:pt>
                <c:pt idx="9">
                  <c:v>0.71605751927495687</c:v>
                </c:pt>
                <c:pt idx="10">
                  <c:v>0.44993348720762777</c:v>
                </c:pt>
                <c:pt idx="11">
                  <c:v>0.39266355506238032</c:v>
                </c:pt>
                <c:pt idx="12">
                  <c:v>0.53712199907917291</c:v>
                </c:pt>
                <c:pt idx="13">
                  <c:v>0.86089414852889101</c:v>
                </c:pt>
                <c:pt idx="14">
                  <c:v>1.3330805781459818</c:v>
                </c:pt>
                <c:pt idx="15">
                  <c:v>1.9224348488206746</c:v>
                </c:pt>
                <c:pt idx="16">
                  <c:v>2.6051144333207428</c:v>
                </c:pt>
                <c:pt idx="17">
                  <c:v>3.3704244640232313</c:v>
                </c:pt>
                <c:pt idx="18">
                  <c:v>4.2233604507064664</c:v>
                </c:pt>
                <c:pt idx="19">
                  <c:v>5.183422862976526</c:v>
                </c:pt>
                <c:pt idx="20">
                  <c:v>6.2799492185297421</c:v>
                </c:pt>
              </c:numCache>
            </c:numRef>
          </c:val>
        </c:ser>
        <c:ser>
          <c:idx val="13"/>
          <c:order val="13"/>
          <c:val>
            <c:numRef>
              <c:f>'Задание 5'!$O$3:$O$23</c:f>
              <c:numCache>
                <c:formatCode>General</c:formatCode>
                <c:ptCount val="21"/>
                <c:pt idx="0">
                  <c:v>5.9520203401965848</c:v>
                </c:pt>
                <c:pt idx="1">
                  <c:v>5.3742767795899224</c:v>
                </c:pt>
                <c:pt idx="2">
                  <c:v>4.7571167235800313</c:v>
                </c:pt>
                <c:pt idx="3">
                  <c:v>4.0842500178502812</c:v>
                </c:pt>
                <c:pt idx="4">
                  <c:v>3.3620279396619299</c:v>
                </c:pt>
                <c:pt idx="5">
                  <c:v>2.6182995107127756</c:v>
                </c:pt>
                <c:pt idx="6">
                  <c:v>1.8974154129032192</c:v>
                </c:pt>
                <c:pt idx="7">
                  <c:v>1.2523465894702845</c:v>
                </c:pt>
                <c:pt idx="8">
                  <c:v>0.73543891891527613</c:v>
                </c:pt>
                <c:pt idx="9">
                  <c:v>0.38957914900251134</c:v>
                </c:pt>
                <c:pt idx="10">
                  <c:v>0.24145093543738255</c:v>
                </c:pt>
                <c:pt idx="11">
                  <c:v>0.29813325589965961</c:v>
                </c:pt>
                <c:pt idx="12">
                  <c:v>0.5476221236450618</c:v>
                </c:pt>
                <c:pt idx="13">
                  <c:v>0.96307437028717879</c:v>
                </c:pt>
                <c:pt idx="14">
                  <c:v>1.509835086705694</c:v>
                </c:pt>
                <c:pt idx="15">
                  <c:v>2.1537646843865002</c:v>
                </c:pt>
                <c:pt idx="16">
                  <c:v>2.8691356699717021</c:v>
                </c:pt>
                <c:pt idx="17">
                  <c:v>3.6444714175000237</c:v>
                </c:pt>
                <c:pt idx="18">
                  <c:v>4.4851282960327739</c:v>
                </c:pt>
                <c:pt idx="19">
                  <c:v>5.4120920605194041</c:v>
                </c:pt>
                <c:pt idx="20">
                  <c:v>6.4572350641733518</c:v>
                </c:pt>
              </c:numCache>
            </c:numRef>
          </c:val>
        </c:ser>
        <c:ser>
          <c:idx val="14"/>
          <c:order val="14"/>
          <c:val>
            <c:numRef>
              <c:f>'Задание 5'!$P$3:$P$23</c:f>
              <c:numCache>
                <c:formatCode>General</c:formatCode>
                <c:ptCount val="21"/>
                <c:pt idx="0">
                  <c:v>5.0170395003157582</c:v>
                </c:pt>
                <c:pt idx="1">
                  <c:v>4.4400810494701748</c:v>
                </c:pt>
                <c:pt idx="2">
                  <c:v>3.8455390110583725</c:v>
                </c:pt>
                <c:pt idx="3">
                  <c:v>3.2179472758422536</c:v>
                </c:pt>
                <c:pt idx="4">
                  <c:v>2.5633389887029416</c:v>
                </c:pt>
                <c:pt idx="5">
                  <c:v>1.9081188991208538</c:v>
                </c:pt>
                <c:pt idx="6">
                  <c:v>1.2941400852835208</c:v>
                </c:pt>
                <c:pt idx="7">
                  <c:v>0.77094846388314009</c:v>
                </c:pt>
                <c:pt idx="8">
                  <c:v>0.38671012574898916</c:v>
                </c:pt>
                <c:pt idx="9">
                  <c:v>0.17958798040722712</c:v>
                </c:pt>
                <c:pt idx="10">
                  <c:v>0.17123593188066544</c:v>
                </c:pt>
                <c:pt idx="11">
                  <c:v>0.36365085148683374</c:v>
                </c:pt>
                <c:pt idx="12">
                  <c:v>0.73995048949721287</c:v>
                </c:pt>
                <c:pt idx="13">
                  <c:v>1.2688631798680958</c:v>
                </c:pt>
                <c:pt idx="14">
                  <c:v>1.9119785296244016</c:v>
                </c:pt>
                <c:pt idx="15">
                  <c:v>2.63226380084769</c:v>
                </c:pt>
                <c:pt idx="16">
                  <c:v>3.4021065340543912</c:v>
                </c:pt>
                <c:pt idx="17">
                  <c:v>4.209248344944915</c:v>
                </c:pt>
                <c:pt idx="18">
                  <c:v>5.0594064618635448</c:v>
                </c:pt>
                <c:pt idx="19">
                  <c:v>5.9750519251031147</c:v>
                </c:pt>
                <c:pt idx="20">
                  <c:v>6.9905919233941569</c:v>
                </c:pt>
              </c:numCache>
            </c:numRef>
          </c:val>
        </c:ser>
        <c:ser>
          <c:idx val="15"/>
          <c:order val="15"/>
          <c:val>
            <c:numRef>
              <c:f>'Задание 5'!$Q$3:$Q$23</c:f>
              <c:numCache>
                <c:formatCode>General</c:formatCode>
                <c:ptCount val="21"/>
                <c:pt idx="0">
                  <c:v>4.0428646223122851</c:v>
                </c:pt>
                <c:pt idx="1">
                  <c:v>3.4865073680258347</c:v>
                </c:pt>
                <c:pt idx="2">
                  <c:v>2.9343994340101776</c:v>
                </c:pt>
                <c:pt idx="3">
                  <c:v>2.3718987561057467</c:v>
                </c:pt>
                <c:pt idx="4">
                  <c:v>1.8047203468135287</c:v>
                </c:pt>
                <c:pt idx="5">
                  <c:v>1.2578246833965643</c:v>
                </c:pt>
                <c:pt idx="6">
                  <c:v>0.77056724032950985</c:v>
                </c:pt>
                <c:pt idx="7">
                  <c:v>0.38906890775973901</c:v>
                </c:pt>
                <c:pt idx="8">
                  <c:v>0.15731598884450146</c:v>
                </c:pt>
                <c:pt idx="9">
                  <c:v>0.10874755487179782</c:v>
                </c:pt>
                <c:pt idx="10">
                  <c:v>0.25998775818185921</c:v>
                </c:pt>
                <c:pt idx="11">
                  <c:v>0.60795136372997471</c:v>
                </c:pt>
                <c:pt idx="12">
                  <c:v>1.1308778588033859</c:v>
                </c:pt>
                <c:pt idx="13">
                  <c:v>1.7930670797010904</c:v>
                </c:pt>
                <c:pt idx="14">
                  <c:v>2.5523531495932437</c:v>
                </c:pt>
                <c:pt idx="15">
                  <c:v>3.368810181157067</c:v>
                </c:pt>
                <c:pt idx="16">
                  <c:v>4.2129407487833257</c:v>
                </c:pt>
                <c:pt idx="17">
                  <c:v>5.0717047098341048</c:v>
                </c:pt>
                <c:pt idx="18">
                  <c:v>5.9511801519366729</c:v>
                </c:pt>
                <c:pt idx="19">
                  <c:v>6.8753234007272344</c:v>
                </c:pt>
                <c:pt idx="20">
                  <c:v>7.8810764804534319</c:v>
                </c:pt>
              </c:numCache>
            </c:numRef>
          </c:val>
        </c:ser>
        <c:ser>
          <c:idx val="16"/>
          <c:order val="16"/>
          <c:val>
            <c:numRef>
              <c:f>'Задание 5'!$R$3:$R$23</c:f>
              <c:numCache>
                <c:formatCode>General</c:formatCode>
                <c:ptCount val="21"/>
                <c:pt idx="0">
                  <c:v>3.0847051031306139</c:v>
                </c:pt>
                <c:pt idx="1">
                  <c:v>2.5658019081387522</c:v>
                </c:pt>
                <c:pt idx="2">
                  <c:v>2.0729809412546962</c:v>
                </c:pt>
                <c:pt idx="3">
                  <c:v>1.592424183397408</c:v>
                </c:pt>
                <c:pt idx="4">
                  <c:v>1.1295285146877405</c:v>
                </c:pt>
                <c:pt idx="5">
                  <c:v>0.70781014017135468</c:v>
                </c:pt>
                <c:pt idx="6">
                  <c:v>0.36412693061003476</c:v>
                </c:pt>
                <c:pt idx="7">
                  <c:v>0.14117474960632947</c:v>
                </c:pt>
                <c:pt idx="8">
                  <c:v>7.8760112645461053E-2</c:v>
                </c:pt>
                <c:pt idx="9">
                  <c:v>0.20559825277727162</c:v>
                </c:pt>
                <c:pt idx="10">
                  <c:v>0.53328357065941157</c:v>
                </c:pt>
                <c:pt idx="11">
                  <c:v>1.0536487248849298</c:v>
                </c:pt>
                <c:pt idx="12">
                  <c:v>1.7400549397568295</c:v>
                </c:pt>
                <c:pt idx="13">
                  <c:v>2.5523735539168118</c:v>
                </c:pt>
                <c:pt idx="14">
                  <c:v>3.4446832066802671</c:v>
                </c:pt>
                <c:pt idx="15">
                  <c:v>4.3741648613200832</c:v>
                </c:pt>
                <c:pt idx="16">
                  <c:v>5.309436126101355</c:v>
                </c:pt>
                <c:pt idx="17">
                  <c:v>6.2366751000478464</c:v>
                </c:pt>
                <c:pt idx="18">
                  <c:v>7.1623207300698066</c:v>
                </c:pt>
                <c:pt idx="19">
                  <c:v>8.1118146271468188</c:v>
                </c:pt>
                <c:pt idx="20">
                  <c:v>9.1246336510436237</c:v>
                </c:pt>
              </c:numCache>
            </c:numRef>
          </c:val>
        </c:ser>
        <c:ser>
          <c:idx val="17"/>
          <c:order val="17"/>
          <c:val>
            <c:numRef>
              <c:f>'Задание 5'!$S$3:$S$23</c:f>
              <c:numCache>
                <c:formatCode>General</c:formatCode>
                <c:ptCount val="21"/>
                <c:pt idx="0">
                  <c:v>2.2036036297089563</c:v>
                </c:pt>
                <c:pt idx="1">
                  <c:v>1.7351945497771568</c:v>
                </c:pt>
                <c:pt idx="2">
                  <c:v>1.3147006057901742</c:v>
                </c:pt>
                <c:pt idx="3">
                  <c:v>0.92912782374550229</c:v>
                </c:pt>
                <c:pt idx="4">
                  <c:v>0.5835549513838576</c:v>
                </c:pt>
                <c:pt idx="5">
                  <c:v>0.30005392153352339</c:v>
                </c:pt>
                <c:pt idx="6">
                  <c:v>0.11298500124341071</c:v>
                </c:pt>
                <c:pt idx="7">
                  <c:v>6.1619027571243754E-2</c:v>
                </c:pt>
                <c:pt idx="8">
                  <c:v>0.18158272833021727</c:v>
                </c:pt>
                <c:pt idx="9">
                  <c:v>0.49686749833201482</c:v>
                </c:pt>
                <c:pt idx="10">
                  <c:v>1.0140379865517062</c:v>
                </c:pt>
                <c:pt idx="11">
                  <c:v>1.7198447452201</c:v>
                </c:pt>
                <c:pt idx="12">
                  <c:v>2.5827707356559606</c:v>
                </c:pt>
                <c:pt idx="13">
                  <c:v>3.558258798843692</c:v>
                </c:pt>
                <c:pt idx="14">
                  <c:v>4.5966320902439248</c:v>
                </c:pt>
                <c:pt idx="15">
                  <c:v>5.6521784237252062</c:v>
                </c:pt>
                <c:pt idx="16">
                  <c:v>6.6916304414269607</c:v>
                </c:pt>
                <c:pt idx="17">
                  <c:v>7.7003844840346378</c:v>
                </c:pt>
                <c:pt idx="18">
                  <c:v>8.6852403577414652</c:v>
                </c:pt>
                <c:pt idx="19">
                  <c:v>9.673124958870396</c:v>
                </c:pt>
                <c:pt idx="20">
                  <c:v>10.706049982703284</c:v>
                </c:pt>
              </c:numCache>
            </c:numRef>
          </c:val>
        </c:ser>
        <c:ser>
          <c:idx val="18"/>
          <c:order val="18"/>
          <c:val>
            <c:numRef>
              <c:f>'Задание 5'!$T$3:$T$23</c:f>
              <c:numCache>
                <c:formatCode>General</c:formatCode>
                <c:ptCount val="21"/>
                <c:pt idx="0">
                  <c:v>1.4568019664964742</c:v>
                </c:pt>
                <c:pt idx="1">
                  <c:v>1.0474568779213471</c:v>
                </c:pt>
                <c:pt idx="2">
                  <c:v>0.70785983312804734</c:v>
                </c:pt>
                <c:pt idx="3">
                  <c:v>0.42584090319260132</c:v>
                </c:pt>
                <c:pt idx="4">
                  <c:v>0.20616070347558949</c:v>
                </c:pt>
                <c:pt idx="5">
                  <c:v>6.9446894587916586E-2</c:v>
                </c:pt>
                <c:pt idx="6">
                  <c:v>4.7562139865620946E-2</c:v>
                </c:pt>
                <c:pt idx="7">
                  <c:v>0.17635224982160222</c:v>
                </c:pt>
                <c:pt idx="8">
                  <c:v>0.48726416459702754</c:v>
                </c:pt>
                <c:pt idx="9">
                  <c:v>0.99956544076542198</c:v>
                </c:pt>
                <c:pt idx="10">
                  <c:v>1.7147909756192745</c:v>
                </c:pt>
                <c:pt idx="11">
                  <c:v>2.614609215027154</c:v>
                </c:pt>
                <c:pt idx="12">
                  <c:v>3.6626248573235856</c:v>
                </c:pt>
                <c:pt idx="13">
                  <c:v>4.8098522458356783</c:v>
                </c:pt>
                <c:pt idx="14">
                  <c:v>6.0028590521692937</c:v>
                </c:pt>
                <c:pt idx="15">
                  <c:v>7.1930399407886494</c:v>
                </c:pt>
                <c:pt idx="16">
                  <c:v>8.3452425877074976</c:v>
                </c:pt>
                <c:pt idx="17">
                  <c:v>9.4440815752729712</c:v>
                </c:pt>
                <c:pt idx="18">
                  <c:v>10.496717568961273</c:v>
                </c:pt>
                <c:pt idx="19">
                  <c:v>11.531562750438741</c:v>
                </c:pt>
                <c:pt idx="20">
                  <c:v>12.593163650504316</c:v>
                </c:pt>
              </c:numCache>
            </c:numRef>
          </c:val>
        </c:ser>
        <c:ser>
          <c:idx val="19"/>
          <c:order val="19"/>
          <c:val>
            <c:numRef>
              <c:f>'Задание 5'!$U$3:$U$23</c:f>
              <c:numCache>
                <c:formatCode>General</c:formatCode>
                <c:ptCount val="21"/>
                <c:pt idx="0">
                  <c:v>0.88929796134347061</c:v>
                </c:pt>
                <c:pt idx="1">
                  <c:v>0.54268453818403328</c:v>
                </c:pt>
                <c:pt idx="2">
                  <c:v>0.28765206664343534</c:v>
                </c:pt>
                <c:pt idx="3">
                  <c:v>0.11285466287623365</c:v>
                </c:pt>
                <c:pt idx="4">
                  <c:v>2.2734809862873028E-2</c:v>
                </c:pt>
                <c:pt idx="5">
                  <c:v>3.6475895996879927E-2</c:v>
                </c:pt>
                <c:pt idx="6">
                  <c:v>0.18344298090141983</c:v>
                </c:pt>
                <c:pt idx="7">
                  <c:v>0.49605684854456755</c:v>
                </c:pt>
                <c:pt idx="8">
                  <c:v>1.0015846513954629</c:v>
                </c:pt>
                <c:pt idx="9">
                  <c:v>1.7145701077894726</c:v>
                </c:pt>
                <c:pt idx="10">
                  <c:v>2.6315183633365047</c:v>
                </c:pt>
                <c:pt idx="11">
                  <c:v>3.7290157575428893</c:v>
                </c:pt>
                <c:pt idx="12">
                  <c:v>4.9657887257589088</c:v>
                </c:pt>
                <c:pt idx="13">
                  <c:v>6.28842311365438</c:v>
                </c:pt>
                <c:pt idx="14">
                  <c:v>7.6397311089804019</c:v>
                </c:pt>
                <c:pt idx="15">
                  <c:v>8.9682142267968494</c:v>
                </c:pt>
                <c:pt idx="16">
                  <c:v>10.236835176991812</c:v>
                </c:pt>
                <c:pt idx="17">
                  <c:v>11.429426783574099</c:v>
                </c:pt>
                <c:pt idx="18">
                  <c:v>12.553510571302894</c:v>
                </c:pt>
                <c:pt idx="19">
                  <c:v>13.638984007187913</c:v>
                </c:pt>
                <c:pt idx="20">
                  <c:v>14.732928457545194</c:v>
                </c:pt>
              </c:numCache>
            </c:numRef>
          </c:val>
        </c:ser>
        <c:ser>
          <c:idx val="20"/>
          <c:order val="20"/>
          <c:val>
            <c:numRef>
              <c:f>'Задание 5'!$V$3:$V$23</c:f>
              <c:numCache>
                <c:formatCode>General</c:formatCode>
                <c:ptCount val="21"/>
                <c:pt idx="0">
                  <c:v>0.52812589368864471</c:v>
                </c:pt>
                <c:pt idx="1">
                  <c:v>0.24282471376704926</c:v>
                </c:pt>
                <c:pt idx="2">
                  <c:v>7.0937393301304802E-2</c:v>
                </c:pt>
                <c:pt idx="3">
                  <c:v>1.9420935244991732E-3</c:v>
                </c:pt>
                <c:pt idx="4">
                  <c:v>3.9963165036941549E-2</c:v>
                </c:pt>
                <c:pt idx="5">
                  <c:v>0.20273972401477988</c:v>
                </c:pt>
                <c:pt idx="6">
                  <c:v>0.51713922636830711</c:v>
                </c:pt>
                <c:pt idx="7">
                  <c:v>1.0121574295207731</c:v>
                </c:pt>
                <c:pt idx="8">
                  <c:v>1.7108816982692905</c:v>
                </c:pt>
                <c:pt idx="9">
                  <c:v>2.623131912711067</c:v>
                </c:pt>
                <c:pt idx="10">
                  <c:v>3.7403834667734328</c:v>
                </c:pt>
                <c:pt idx="11">
                  <c:v>5.0341405936004708</c:v>
                </c:pt>
                <c:pt idx="12">
                  <c:v>6.4582514655582317</c:v>
                </c:pt>
                <c:pt idx="13">
                  <c:v>7.9548734306592328</c:v>
                </c:pt>
                <c:pt idx="14">
                  <c:v>9.4630631927998081</c:v>
                </c:pt>
                <c:pt idx="15">
                  <c:v>10.928429117635503</c:v>
                </c:pt>
                <c:pt idx="16">
                  <c:v>12.312048948928732</c:v>
                </c:pt>
                <c:pt idx="17">
                  <c:v>13.596973752349982</c:v>
                </c:pt>
                <c:pt idx="18">
                  <c:v>14.791085911941419</c:v>
                </c:pt>
                <c:pt idx="19">
                  <c:v>15.925768180056142</c:v>
                </c:pt>
                <c:pt idx="20">
                  <c:v>17.05063675852729</c:v>
                </c:pt>
              </c:numCache>
            </c:numRef>
          </c:val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5741056"/>
        <c:axId val="75742592"/>
        <c:axId val="75717248"/>
      </c:surface3DChart>
      <c:catAx>
        <c:axId val="7574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42592"/>
        <c:crosses val="autoZero"/>
        <c:auto val="1"/>
        <c:lblAlgn val="ctr"/>
        <c:lblOffset val="100"/>
        <c:noMultiLvlLbl val="0"/>
      </c:catAx>
      <c:valAx>
        <c:axId val="75742592"/>
        <c:scaling>
          <c:logBase val="3"/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41056"/>
        <c:crosses val="autoZero"/>
        <c:crossBetween val="midCat"/>
      </c:valAx>
      <c:serAx>
        <c:axId val="757172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42592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99059</xdr:colOff>
      <xdr:row>1</xdr:row>
      <xdr:rowOff>22969</xdr:rowOff>
    </xdr:from>
    <xdr:ext cx="3063241" cy="2706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="" xmlns:a16="http://schemas.microsoft.com/office/drawing/2014/main" id="{8A8B25F5-0000-4130-8B34-7D5D8F31D2E9}"/>
                </a:ext>
              </a:extLst>
            </xdr:cNvPr>
            <xdr:cNvSpPr txBox="1"/>
          </xdr:nvSpPr>
          <xdr:spPr>
            <a:xfrm>
              <a:off x="99059" y="261094"/>
              <a:ext cx="3063241" cy="2706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/>
                      </a:rPr>
                      <m:t>𝑥</m:t>
                    </m:r>
                    <m:r>
                      <a:rPr lang="en-US" sz="1800" b="0" i="1">
                        <a:latin typeface="Cambria Math"/>
                      </a:rPr>
                      <m:t>4+4</m:t>
                    </m:r>
                    <m:r>
                      <a:rPr lang="en-US" sz="1800" b="0" i="1">
                        <a:latin typeface="Cambria Math"/>
                      </a:rPr>
                      <m:t>𝑥</m:t>
                    </m:r>
                    <m:r>
                      <a:rPr lang="en-US" sz="1800" b="0" i="1">
                        <a:latin typeface="Cambria Math"/>
                      </a:rPr>
                      <m:t>3+4</m:t>
                    </m:r>
                    <m:r>
                      <a:rPr lang="en-US" sz="1800" b="0" i="1">
                        <a:latin typeface="Cambria Math"/>
                      </a:rPr>
                      <m:t>𝑥</m:t>
                    </m:r>
                    <m:r>
                      <a:rPr lang="en-US" sz="1800" b="0" i="1">
                        <a:latin typeface="Cambria Math"/>
                      </a:rPr>
                      <m:t>2+4</m:t>
                    </m:r>
                    <m:r>
                      <a:rPr lang="en-US" sz="1800" b="0" i="1">
                        <a:latin typeface="Cambria Math"/>
                      </a:rPr>
                      <m:t>𝑥</m:t>
                    </m:r>
                    <m:r>
                      <a:rPr lang="en-US" sz="1800" b="0" i="1">
                        <a:latin typeface="Cambria Math"/>
                      </a:rPr>
                      <m:t>–1=0 </m:t>
                    </m:r>
                  </m:oMath>
                </m:oMathPara>
              </a14:m>
              <a:endParaRPr lang="ru-RU" sz="18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:a14="http://schemas.microsoft.com/office/drawing/2010/main" xmlns="" id="{8A8B25F5-0000-4130-8B34-7D5D8F31D2E9}"/>
                </a:ext>
              </a:extLst>
            </xdr:cNvPr>
            <xdr:cNvSpPr txBox="1"/>
          </xdr:nvSpPr>
          <xdr:spPr>
            <a:xfrm>
              <a:off x="99059" y="261094"/>
              <a:ext cx="3063241" cy="2706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/>
                </a:rPr>
                <a:t>𝑥4+4𝑥3+4𝑥2+4𝑥–1=0 </a:t>
              </a:r>
              <a:endParaRPr lang="ru-RU" sz="18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365760</xdr:colOff>
      <xdr:row>6</xdr:row>
      <xdr:rowOff>15240</xdr:rowOff>
    </xdr:from>
    <xdr:ext cx="18492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="" xmlns:a16="http://schemas.microsoft.com/office/drawing/2014/main" id="{4CAD7C35-2BF0-4BFA-95C6-A94CCEFA7032}"/>
                </a:ext>
              </a:extLst>
            </xdr:cNvPr>
            <xdr:cNvSpPr txBox="1"/>
          </xdr:nvSpPr>
          <xdr:spPr>
            <a:xfrm>
              <a:off x="365760" y="1158240"/>
              <a:ext cx="18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CAD7C35-2BF0-4BFA-95C6-A94CCEFA7032}"/>
                </a:ext>
              </a:extLst>
            </xdr:cNvPr>
            <xdr:cNvSpPr txBox="1"/>
          </xdr:nvSpPr>
          <xdr:spPr>
            <a:xfrm>
              <a:off x="365760" y="1158240"/>
              <a:ext cx="1849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6</xdr:row>
      <xdr:rowOff>163830</xdr:rowOff>
    </xdr:from>
    <xdr:to>
      <xdr:col>9</xdr:col>
      <xdr:colOff>365760</xdr:colOff>
      <xdr:row>21</xdr:row>
      <xdr:rowOff>163830</xdr:rowOff>
    </xdr:to>
    <xdr:graphicFrame macro="">
      <xdr:nvGraphicFramePr>
        <xdr:cNvPr id="4" name="Диаграмма 3">
          <a:extLst>
            <a:ext uri="{FF2B5EF4-FFF2-40B4-BE49-F238E27FC236}">
              <a16:creationId xmlns="" xmlns:a16="http://schemas.microsoft.com/office/drawing/2014/main" id="{273B35A4-328B-4E6E-83DC-C8C3038CF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1</xdr:row>
      <xdr:rowOff>262890</xdr:rowOff>
    </xdr:from>
    <xdr:to>
      <xdr:col>17</xdr:col>
      <xdr:colOff>289560</xdr:colOff>
      <xdr:row>13</xdr:row>
      <xdr:rowOff>80010</xdr:rowOff>
    </xdr:to>
    <xdr:graphicFrame macro="">
      <xdr:nvGraphicFramePr>
        <xdr:cNvPr id="5" name="Диаграмма 4">
          <a:extLst>
            <a:ext uri="{FF2B5EF4-FFF2-40B4-BE49-F238E27FC236}">
              <a16:creationId xmlns="" xmlns:a16="http://schemas.microsoft.com/office/drawing/2014/main" id="{F859509B-A7BF-49A2-B620-BEA182C01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276225</xdr:colOff>
      <xdr:row>0</xdr:row>
      <xdr:rowOff>123825</xdr:rowOff>
    </xdr:from>
    <xdr:to>
      <xdr:col>13</xdr:col>
      <xdr:colOff>275768</xdr:colOff>
      <xdr:row>1</xdr:row>
      <xdr:rowOff>209515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5" y="123825"/>
          <a:ext cx="3657143" cy="2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3</xdr:row>
      <xdr:rowOff>11430</xdr:rowOff>
    </xdr:from>
    <xdr:to>
      <xdr:col>13</xdr:col>
      <xdr:colOff>15240</xdr:colOff>
      <xdr:row>16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="" xmlns:a16="http://schemas.microsoft.com/office/drawing/2014/main" id="{FE1F4FC6-5736-497B-9314-EF1209C91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123825</xdr:rowOff>
    </xdr:from>
    <xdr:to>
      <xdr:col>5</xdr:col>
      <xdr:colOff>18593</xdr:colOff>
      <xdr:row>2</xdr:row>
      <xdr:rowOff>19015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3825"/>
          <a:ext cx="3657143" cy="2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6</xdr:col>
      <xdr:colOff>132805</xdr:colOff>
      <xdr:row>4</xdr:row>
      <xdr:rowOff>161820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5725"/>
          <a:ext cx="4361905" cy="838095"/>
        </a:xfrm>
        <a:prstGeom prst="rect">
          <a:avLst/>
        </a:prstGeom>
      </xdr:spPr>
    </xdr:pic>
    <xdr:clientData/>
  </xdr:twoCellAnchor>
  <xdr:twoCellAnchor>
    <xdr:from>
      <xdr:col>11</xdr:col>
      <xdr:colOff>95249</xdr:colOff>
      <xdr:row>27</xdr:row>
      <xdr:rowOff>190500</xdr:rowOff>
    </xdr:from>
    <xdr:to>
      <xdr:col>13</xdr:col>
      <xdr:colOff>209549</xdr:colOff>
      <xdr:row>32</xdr:row>
      <xdr:rowOff>180975</xdr:rowOff>
    </xdr:to>
    <xdr:sp macro="" textlink="">
      <xdr:nvSpPr>
        <xdr:cNvPr id="10" name="TextBox 9"/>
        <xdr:cNvSpPr txBox="1"/>
      </xdr:nvSpPr>
      <xdr:spPr>
        <a:xfrm>
          <a:off x="7934324" y="5353050"/>
          <a:ext cx="1323975" cy="9715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вектор - столбец правой</a:t>
          </a:r>
          <a:r>
            <a:rPr lang="ru-RU" sz="1100" baseline="0"/>
            <a:t> части матрциы</a:t>
          </a:r>
        </a:p>
      </xdr:txBody>
    </xdr:sp>
    <xdr:clientData/>
  </xdr:twoCellAnchor>
  <xdr:twoCellAnchor>
    <xdr:from>
      <xdr:col>15</xdr:col>
      <xdr:colOff>133350</xdr:colOff>
      <xdr:row>23</xdr:row>
      <xdr:rowOff>38100</xdr:rowOff>
    </xdr:from>
    <xdr:to>
      <xdr:col>17</xdr:col>
      <xdr:colOff>409575</xdr:colOff>
      <xdr:row>26</xdr:row>
      <xdr:rowOff>19050</xdr:rowOff>
    </xdr:to>
    <xdr:sp macro="" textlink="">
      <xdr:nvSpPr>
        <xdr:cNvPr id="11" name="TextBox 10"/>
        <xdr:cNvSpPr txBox="1"/>
      </xdr:nvSpPr>
      <xdr:spPr>
        <a:xfrm>
          <a:off x="10115550" y="4419600"/>
          <a:ext cx="1495425" cy="571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ru-RU" sz="1100" baseline="0"/>
            <a:t>вектор-столбец рещений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24</xdr:row>
      <xdr:rowOff>94587</xdr:rowOff>
    </xdr:from>
    <xdr:to>
      <xdr:col>15</xdr:col>
      <xdr:colOff>136663</xdr:colOff>
      <xdr:row>39</xdr:row>
      <xdr:rowOff>94587</xdr:rowOff>
    </xdr:to>
    <xdr:graphicFrame macro="">
      <xdr:nvGraphicFramePr>
        <xdr:cNvPr id="5" name="Диаграмма 4">
          <a:extLst>
            <a:ext uri="{FF2B5EF4-FFF2-40B4-BE49-F238E27FC236}">
              <a16:creationId xmlns="" xmlns:a16="http://schemas.microsoft.com/office/drawing/2014/main" id="{56683028-77AF-4B1E-A8CA-15EAABF27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219075</xdr:colOff>
      <xdr:row>26</xdr:row>
      <xdr:rowOff>0</xdr:rowOff>
    </xdr:from>
    <xdr:to>
      <xdr:col>6</xdr:col>
      <xdr:colOff>485285</xdr:colOff>
      <xdr:row>30</xdr:row>
      <xdr:rowOff>9429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953000"/>
          <a:ext cx="3923810" cy="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="130" zoomScaleNormal="130" workbookViewId="0">
      <selection activeCell="D13" sqref="D13"/>
    </sheetView>
  </sheetViews>
  <sheetFormatPr defaultRowHeight="15" x14ac:dyDescent="0.25"/>
  <cols>
    <col min="1" max="1" width="12.85546875" customWidth="1"/>
    <col min="10" max="10" width="8.85546875" customWidth="1"/>
  </cols>
  <sheetData>
    <row r="1" spans="1:21" ht="18.75" x14ac:dyDescent="0.3">
      <c r="A1" s="3" t="s">
        <v>39</v>
      </c>
      <c r="B1" s="2"/>
      <c r="C1" s="2"/>
      <c r="D1" s="2"/>
      <c r="E1" s="2"/>
    </row>
    <row r="5" spans="1:21" x14ac:dyDescent="0.25">
      <c r="A5" s="46" t="s">
        <v>0</v>
      </c>
      <c r="B5" s="46"/>
      <c r="C5" s="46"/>
      <c r="D5" s="46"/>
      <c r="E5" s="46"/>
      <c r="F5" s="27"/>
    </row>
    <row r="6" spans="1:21" ht="18" x14ac:dyDescent="0.25">
      <c r="A6" s="26" t="s">
        <v>31</v>
      </c>
      <c r="B6" s="26" t="s">
        <v>32</v>
      </c>
      <c r="C6" s="26" t="s">
        <v>33</v>
      </c>
      <c r="D6" s="26" t="s">
        <v>34</v>
      </c>
      <c r="E6" s="26" t="s">
        <v>35</v>
      </c>
      <c r="F6" s="28"/>
    </row>
    <row r="7" spans="1:21" x14ac:dyDescent="0.25">
      <c r="A7" s="19">
        <v>1</v>
      </c>
      <c r="B7" s="19">
        <v>4</v>
      </c>
      <c r="C7" s="19">
        <v>4</v>
      </c>
      <c r="D7" s="19">
        <v>4</v>
      </c>
      <c r="E7" s="19">
        <v>-1</v>
      </c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x14ac:dyDescent="0.25">
      <c r="U8" s="9"/>
    </row>
    <row r="9" spans="1:21" x14ac:dyDescent="0.25">
      <c r="A9" s="29" t="s">
        <v>36</v>
      </c>
      <c r="B9" s="6">
        <f>1/(1+ABS(MAX(A7:D7))/ABS(E7))</f>
        <v>0.2</v>
      </c>
    </row>
    <row r="10" spans="1:21" x14ac:dyDescent="0.25">
      <c r="A10" s="29" t="s">
        <v>37</v>
      </c>
      <c r="B10" s="6">
        <f>1+(ABS(MAX(B7:E7))/ABS(A7))</f>
        <v>5</v>
      </c>
    </row>
    <row r="11" spans="1:21" x14ac:dyDescent="0.25">
      <c r="A11" s="29" t="s">
        <v>38</v>
      </c>
      <c r="B11" s="7">
        <f>(B10-B9)/10</f>
        <v>0.48</v>
      </c>
    </row>
    <row r="13" spans="1:21" x14ac:dyDescent="0.25">
      <c r="A13" s="4" t="s">
        <v>1</v>
      </c>
      <c r="B13" s="33">
        <v>-0.21484839150539983</v>
      </c>
      <c r="C13" s="11">
        <f>B13+($B$10-$B$9)/10</f>
        <v>0.26515160849460018</v>
      </c>
      <c r="D13" s="30">
        <f t="shared" ref="D13:M13" si="0">C13+($B$10-$B$9)/10</f>
        <v>0.74515160849460016</v>
      </c>
      <c r="E13" s="30">
        <f>D13+($B$10-$B$9)/10</f>
        <v>1.2251516084946001</v>
      </c>
      <c r="F13" s="30">
        <f t="shared" si="0"/>
        <v>1.7051516084946001</v>
      </c>
      <c r="G13" s="30">
        <f t="shared" si="0"/>
        <v>2.1851516084945999</v>
      </c>
      <c r="H13" s="30">
        <f t="shared" si="0"/>
        <v>2.6651516084945999</v>
      </c>
      <c r="I13" s="30">
        <f t="shared" si="0"/>
        <v>3.1451516084945998</v>
      </c>
      <c r="J13" s="30">
        <f t="shared" si="0"/>
        <v>3.6251516084945998</v>
      </c>
      <c r="K13" s="30">
        <f t="shared" si="0"/>
        <v>4.1051516084945998</v>
      </c>
      <c r="L13" s="30">
        <f t="shared" si="0"/>
        <v>4.5851516084946002</v>
      </c>
      <c r="M13" s="30">
        <f t="shared" si="0"/>
        <v>5.0651516084946007</v>
      </c>
    </row>
    <row r="14" spans="1:21" x14ac:dyDescent="0.25">
      <c r="A14" s="4" t="s">
        <v>2</v>
      </c>
      <c r="B14" s="31">
        <f>B13^4+4*B13^3+4*B13+4*B13-1</f>
        <v>-2.7563258640703139</v>
      </c>
      <c r="C14" s="34">
        <f t="shared" ref="C14:M14" si="1">C13^4+4*C13^3+4*C13+4*C13-1</f>
        <v>1.2007220473642777</v>
      </c>
      <c r="D14" s="34">
        <f t="shared" si="1"/>
        <v>6.9245009152778243</v>
      </c>
      <c r="E14" s="34">
        <f t="shared" si="1"/>
        <v>18.409996180149562</v>
      </c>
      <c r="F14" s="34">
        <f t="shared" si="1"/>
        <v>40.926213122458726</v>
      </c>
      <c r="G14" s="34">
        <f t="shared" si="1"/>
        <v>81.016176862684517</v>
      </c>
      <c r="H14" s="34">
        <f t="shared" si="1"/>
        <v>146.49693236130619</v>
      </c>
      <c r="I14" s="34">
        <f t="shared" si="1"/>
        <v>246.45954441880303</v>
      </c>
      <c r="J14" s="34">
        <f t="shared" si="1"/>
        <v>391.26909767565428</v>
      </c>
      <c r="K14" s="34">
        <f t="shared" si="1"/>
        <v>592.56469661233905</v>
      </c>
      <c r="L14" s="34">
        <f t="shared" si="1"/>
        <v>863.25946554933694</v>
      </c>
      <c r="M14" s="34">
        <f t="shared" si="1"/>
        <v>1217.540548647127</v>
      </c>
    </row>
    <row r="15" spans="1:21" x14ac:dyDescent="0.25">
      <c r="B15" t="b">
        <f>OR(AND(B14&gt;0,C14&lt;0),AND(B14&lt;0,C14&gt;0))</f>
        <v>1</v>
      </c>
      <c r="C15" t="b">
        <f t="shared" ref="C15:M15" si="2">OR(AND(C14&gt;0,D14&lt;0),AND(C14&lt;0,D14&gt;0))</f>
        <v>0</v>
      </c>
      <c r="D15" t="b">
        <f t="shared" si="2"/>
        <v>0</v>
      </c>
      <c r="E15" t="b">
        <f t="shared" si="2"/>
        <v>0</v>
      </c>
      <c r="F15" t="b">
        <f t="shared" si="2"/>
        <v>0</v>
      </c>
      <c r="G15" t="b">
        <f t="shared" si="2"/>
        <v>0</v>
      </c>
      <c r="H15" t="b">
        <f t="shared" si="2"/>
        <v>0</v>
      </c>
      <c r="I15" t="b">
        <f t="shared" si="2"/>
        <v>0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</row>
    <row r="16" spans="1:21" x14ac:dyDescent="0.25">
      <c r="A16" s="29" t="s">
        <v>36</v>
      </c>
      <c r="B16" s="6">
        <v>-4</v>
      </c>
    </row>
    <row r="17" spans="1:13" x14ac:dyDescent="0.25">
      <c r="A17" s="29" t="s">
        <v>37</v>
      </c>
      <c r="B17" s="6">
        <v>-0.25</v>
      </c>
    </row>
    <row r="18" spans="1:13" x14ac:dyDescent="0.25">
      <c r="A18" s="29" t="s">
        <v>38</v>
      </c>
      <c r="B18" s="7">
        <f>(B17-B16)/10</f>
        <v>0.375</v>
      </c>
    </row>
    <row r="20" spans="1:13" x14ac:dyDescent="0.25">
      <c r="A20" s="4" t="s">
        <v>3</v>
      </c>
      <c r="B20" s="11">
        <f>B16+B18</f>
        <v>-3.625</v>
      </c>
      <c r="C20" s="11">
        <f>B20+($B$17-$B$16)/10</f>
        <v>-3.25</v>
      </c>
      <c r="D20" s="10">
        <f t="shared" ref="D20:K20" si="3">C20+($B$17-$B$16)/10</f>
        <v>-2.875</v>
      </c>
      <c r="E20" s="10">
        <f t="shared" si="3"/>
        <v>-2.5</v>
      </c>
      <c r="F20" s="10">
        <f t="shared" si="3"/>
        <v>-2.125</v>
      </c>
      <c r="G20" s="10">
        <f t="shared" si="3"/>
        <v>-1.75</v>
      </c>
      <c r="H20" s="10">
        <f t="shared" si="3"/>
        <v>-1.375</v>
      </c>
      <c r="I20" s="10">
        <f t="shared" si="3"/>
        <v>-1</v>
      </c>
      <c r="J20" s="10">
        <f t="shared" si="3"/>
        <v>-0.625</v>
      </c>
      <c r="K20" s="30">
        <f t="shared" si="3"/>
        <v>-0.25</v>
      </c>
      <c r="L20" s="33">
        <v>-0.21484776204394976</v>
      </c>
      <c r="M20" s="33">
        <v>1.1368208299198248</v>
      </c>
    </row>
    <row r="21" spans="1:13" x14ac:dyDescent="0.25">
      <c r="A21" s="4" t="s">
        <v>2</v>
      </c>
      <c r="B21" s="31">
        <f>B20^4+4*B20^3+4*B20+4*B20-1</f>
        <v>-47.863037109375</v>
      </c>
      <c r="C21" s="4">
        <f t="shared" ref="C21:M21" si="4">C$20^4+3*C$20^2-4*C$20-1</f>
        <v>155.25390625</v>
      </c>
      <c r="D21" s="4">
        <f t="shared" si="4"/>
        <v>103.617431640625</v>
      </c>
      <c r="E21" s="4">
        <f t="shared" si="4"/>
        <v>66.8125</v>
      </c>
      <c r="F21" s="4">
        <f t="shared" si="4"/>
        <v>41.437744140625</v>
      </c>
      <c r="G21" s="4">
        <f t="shared" si="4"/>
        <v>24.56640625</v>
      </c>
      <c r="H21" s="4">
        <f t="shared" si="4"/>
        <v>13.746337890625</v>
      </c>
      <c r="I21" s="4">
        <f t="shared" si="4"/>
        <v>7</v>
      </c>
      <c r="J21" s="4">
        <f t="shared" si="4"/>
        <v>2.824462890625</v>
      </c>
      <c r="K21" s="34">
        <f t="shared" si="4"/>
        <v>0.19140625</v>
      </c>
      <c r="L21" s="31">
        <f t="shared" si="4"/>
        <v>4.3580003361576303E-7</v>
      </c>
      <c r="M21" s="32">
        <f t="shared" si="4"/>
        <v>-1.8212895191993539E-8</v>
      </c>
    </row>
    <row r="22" spans="1:13" x14ac:dyDescent="0.25">
      <c r="B22" t="b">
        <f>OR(AND(B21&gt;0,C21&lt;0),AND(B21&lt;0,C21&gt;0))</f>
        <v>1</v>
      </c>
      <c r="C22" t="b">
        <f t="shared" ref="C22:M22" si="5">OR(AND(C21&gt;0,D21&lt;0),AND(C21&lt;0,D21&gt;0))</f>
        <v>0</v>
      </c>
      <c r="D22" t="b">
        <f t="shared" si="5"/>
        <v>0</v>
      </c>
      <c r="E22" t="b">
        <f t="shared" si="5"/>
        <v>0</v>
      </c>
      <c r="F22" t="b">
        <f t="shared" si="5"/>
        <v>0</v>
      </c>
      <c r="G22" t="b">
        <f t="shared" si="5"/>
        <v>0</v>
      </c>
      <c r="H22" t="b">
        <f t="shared" si="5"/>
        <v>0</v>
      </c>
      <c r="I22" t="b">
        <f t="shared" si="5"/>
        <v>0</v>
      </c>
      <c r="J22" t="b">
        <f t="shared" si="5"/>
        <v>0</v>
      </c>
      <c r="K22" t="b">
        <f t="shared" si="5"/>
        <v>0</v>
      </c>
      <c r="L22" t="b">
        <f t="shared" si="5"/>
        <v>1</v>
      </c>
      <c r="M22" t="b">
        <f t="shared" si="5"/>
        <v>0</v>
      </c>
    </row>
  </sheetData>
  <mergeCells count="1">
    <mergeCell ref="A5:E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Q27" sqref="Q27"/>
    </sheetView>
  </sheetViews>
  <sheetFormatPr defaultRowHeight="15" x14ac:dyDescent="0.25"/>
  <cols>
    <col min="1" max="1" width="11.28515625" bestFit="1" customWidth="1"/>
    <col min="2" max="2" width="15.140625" customWidth="1"/>
    <col min="3" max="3" width="12" customWidth="1"/>
    <col min="5" max="5" width="11.28515625" bestFit="1" customWidth="1"/>
    <col min="6" max="6" width="12.7109375" customWidth="1"/>
    <col min="7" max="7" width="13.28515625" customWidth="1"/>
  </cols>
  <sheetData>
    <row r="1" spans="1:7" x14ac:dyDescent="0.25">
      <c r="A1" s="46" t="s">
        <v>7</v>
      </c>
      <c r="B1" s="46"/>
      <c r="C1" s="46"/>
      <c r="E1" s="47" t="s">
        <v>8</v>
      </c>
      <c r="F1" s="47"/>
      <c r="G1" s="47"/>
    </row>
    <row r="2" spans="1:7" ht="45" x14ac:dyDescent="0.25">
      <c r="A2" s="15" t="s">
        <v>4</v>
      </c>
      <c r="B2" s="16" t="s">
        <v>5</v>
      </c>
      <c r="C2" s="16" t="s">
        <v>6</v>
      </c>
      <c r="E2" s="17" t="s">
        <v>4</v>
      </c>
      <c r="F2" s="18" t="s">
        <v>5</v>
      </c>
      <c r="G2" s="18" t="s">
        <v>6</v>
      </c>
    </row>
    <row r="3" spans="1:7" x14ac:dyDescent="0.25">
      <c r="A3" s="4">
        <v>0</v>
      </c>
      <c r="B3" s="10">
        <v>1</v>
      </c>
      <c r="C3" s="4"/>
      <c r="E3" s="5">
        <v>0</v>
      </c>
      <c r="F3" s="5">
        <v>1.6</v>
      </c>
      <c r="G3" s="5"/>
    </row>
    <row r="4" spans="1:7" x14ac:dyDescent="0.25">
      <c r="A4" s="4">
        <v>1</v>
      </c>
      <c r="B4" s="10">
        <f>B3-(LN(B3)-2+B3)</f>
        <v>2</v>
      </c>
      <c r="C4" s="4" t="str">
        <f>IF(ABS(B4-B3)&lt;=0.0001,"стоп","дальше")</f>
        <v>дальше</v>
      </c>
      <c r="E4" s="5">
        <v>1</v>
      </c>
      <c r="F4" s="5">
        <f>F3-((LN(F3)-2+F3)/(1/F3+1))</f>
        <v>1.5569208435410857</v>
      </c>
      <c r="G4" s="5" t="str">
        <f>IF(ABS(F3-F4)&lt;=0.0001,"СТОП","ДАЛЬШЕ")</f>
        <v>ДАЛЬШЕ</v>
      </c>
    </row>
    <row r="5" spans="1:7" x14ac:dyDescent="0.25">
      <c r="A5" s="4">
        <v>2</v>
      </c>
      <c r="B5" s="10">
        <f t="shared" ref="B5:B24" si="0">B4-(LN(B4)-2+B4)</f>
        <v>1.3068528194400546</v>
      </c>
      <c r="C5" s="4" t="str">
        <f>IF(ABS(B5-B4)&lt;=0.0001,"стоп","дальше")</f>
        <v>дальше</v>
      </c>
      <c r="E5" s="5">
        <v>2</v>
      </c>
      <c r="F5" s="5">
        <f t="shared" ref="F5:F6" si="1">F4-((LN(F4)-2+F4)/(1/F4+1))</f>
        <v>1.5571455926535864</v>
      </c>
      <c r="G5" s="5" t="str">
        <f t="shared" ref="G5:G6" si="2">IF(ABS(F4-F5)&lt;=0.0001,"СТОП","ДАЛЬШЕ")</f>
        <v>ДАЛЬШЕ</v>
      </c>
    </row>
    <row r="6" spans="1:7" x14ac:dyDescent="0.25">
      <c r="A6" s="4">
        <v>3</v>
      </c>
      <c r="B6" s="10">
        <f t="shared" si="0"/>
        <v>1.7323781811555654</v>
      </c>
      <c r="C6" s="4" t="str">
        <f>IF(ABS(B6-B5)&lt;=0.0001,"стоп","дальше")</f>
        <v>дальше</v>
      </c>
      <c r="E6" s="5">
        <v>3</v>
      </c>
      <c r="F6" s="5">
        <f t="shared" si="1"/>
        <v>1.5571455989976115</v>
      </c>
      <c r="G6" s="5" t="str">
        <f t="shared" si="2"/>
        <v>СТОП</v>
      </c>
    </row>
    <row r="7" spans="1:7" x14ac:dyDescent="0.25">
      <c r="A7" s="4">
        <v>4</v>
      </c>
      <c r="B7" s="10">
        <f>B6-(LN(B6)-2+B6)</f>
        <v>1.4505048642975389</v>
      </c>
      <c r="C7" s="4" t="str">
        <f t="shared" ref="C7:C23" si="3">IF(ABS(B7-B6)&lt;=0.0001,"стоп","дальше")</f>
        <v>дальше</v>
      </c>
    </row>
    <row r="8" spans="1:7" x14ac:dyDescent="0.25">
      <c r="A8" s="4">
        <v>5</v>
      </c>
      <c r="B8" s="10">
        <f t="shared" si="0"/>
        <v>1.6280883218947337</v>
      </c>
      <c r="C8" s="4" t="str">
        <f t="shared" si="3"/>
        <v>дальше</v>
      </c>
    </row>
    <row r="9" spans="1:7" x14ac:dyDescent="0.25">
      <c r="A9" s="4">
        <v>6</v>
      </c>
      <c r="B9" s="10">
        <f t="shared" si="0"/>
        <v>1.5125934821131339</v>
      </c>
      <c r="C9" s="4" t="str">
        <f t="shared" si="3"/>
        <v>дальше</v>
      </c>
    </row>
    <row r="10" spans="1:7" x14ac:dyDescent="0.25">
      <c r="A10" s="4">
        <v>7</v>
      </c>
      <c r="B10" s="10">
        <f t="shared" si="0"/>
        <v>1.5861742846312836</v>
      </c>
      <c r="C10" s="4" t="str">
        <f t="shared" si="3"/>
        <v>дальше</v>
      </c>
    </row>
    <row r="11" spans="1:7" x14ac:dyDescent="0.25">
      <c r="A11" s="4">
        <v>8</v>
      </c>
      <c r="B11" s="10">
        <f t="shared" si="0"/>
        <v>1.5386749933977057</v>
      </c>
      <c r="C11" s="4" t="str">
        <f t="shared" si="3"/>
        <v>дальше</v>
      </c>
    </row>
    <row r="12" spans="1:7" x14ac:dyDescent="0.25">
      <c r="A12" s="4">
        <v>9</v>
      </c>
      <c r="B12" s="10">
        <f t="shared" si="0"/>
        <v>1.5690783478233326</v>
      </c>
      <c r="C12" s="4" t="str">
        <f t="shared" si="3"/>
        <v>дальше</v>
      </c>
    </row>
    <row r="13" spans="1:7" x14ac:dyDescent="0.25">
      <c r="A13" s="4">
        <v>10</v>
      </c>
      <c r="B13" s="10">
        <f t="shared" si="0"/>
        <v>1.5495115926179679</v>
      </c>
      <c r="C13" s="4" t="str">
        <f t="shared" si="3"/>
        <v>дальше</v>
      </c>
    </row>
    <row r="14" spans="1:7" x14ac:dyDescent="0.25">
      <c r="A14" s="4">
        <v>11</v>
      </c>
      <c r="B14" s="10">
        <f t="shared" si="0"/>
        <v>1.56206022026056</v>
      </c>
      <c r="C14" s="4" t="str">
        <f t="shared" si="3"/>
        <v>дальше</v>
      </c>
    </row>
    <row r="15" spans="1:7" x14ac:dyDescent="0.25">
      <c r="A15" s="4">
        <v>12</v>
      </c>
      <c r="B15" s="10">
        <f>B14-(LN(B14)-2+B14)</f>
        <v>1.5539943960218496</v>
      </c>
      <c r="C15" s="4" t="str">
        <f t="shared" si="3"/>
        <v>дальше</v>
      </c>
    </row>
    <row r="16" spans="1:7" x14ac:dyDescent="0.25">
      <c r="A16" s="4">
        <v>13</v>
      </c>
      <c r="B16" s="10">
        <f t="shared" si="0"/>
        <v>1.5591713542245924</v>
      </c>
      <c r="C16" s="4" t="str">
        <f t="shared" si="3"/>
        <v>дальше</v>
      </c>
    </row>
    <row r="17" spans="1:3" x14ac:dyDescent="0.25">
      <c r="A17" s="4">
        <v>14</v>
      </c>
      <c r="B17" s="10">
        <f t="shared" si="0"/>
        <v>1.5558455030556873</v>
      </c>
      <c r="C17" s="4" t="str">
        <f t="shared" si="3"/>
        <v>дальше</v>
      </c>
    </row>
    <row r="18" spans="1:3" x14ac:dyDescent="0.25">
      <c r="A18" s="4">
        <v>15</v>
      </c>
      <c r="B18" s="10">
        <f>B17-(LN(B17)-2+B17)</f>
        <v>1.5579808702688038</v>
      </c>
      <c r="C18" s="4" t="str">
        <f t="shared" si="3"/>
        <v>дальше</v>
      </c>
    </row>
    <row r="19" spans="1:3" x14ac:dyDescent="0.25">
      <c r="A19" s="4">
        <v>16</v>
      </c>
      <c r="B19" s="10">
        <f t="shared" si="0"/>
        <v>1.5566093310165514</v>
      </c>
      <c r="C19" s="4" t="str">
        <f t="shared" si="3"/>
        <v>дальше</v>
      </c>
    </row>
    <row r="20" spans="1:3" x14ac:dyDescent="0.25">
      <c r="A20" s="4">
        <v>17</v>
      </c>
      <c r="B20" s="10">
        <f t="shared" si="0"/>
        <v>1.5574900499890449</v>
      </c>
      <c r="C20" s="4" t="str">
        <f t="shared" si="3"/>
        <v>дальше</v>
      </c>
    </row>
    <row r="21" spans="1:3" x14ac:dyDescent="0.25">
      <c r="A21" s="4">
        <v>18</v>
      </c>
      <c r="B21" s="10">
        <f t="shared" si="0"/>
        <v>1.5569244167909866</v>
      </c>
      <c r="C21" s="4" t="str">
        <f t="shared" si="3"/>
        <v>дальше</v>
      </c>
    </row>
    <row r="22" spans="1:3" x14ac:dyDescent="0.25">
      <c r="A22" s="4">
        <v>19</v>
      </c>
      <c r="B22" s="10">
        <f t="shared" si="0"/>
        <v>1.5572876524555461</v>
      </c>
      <c r="C22" s="4" t="str">
        <f t="shared" si="3"/>
        <v>дальше</v>
      </c>
    </row>
    <row r="23" spans="1:3" x14ac:dyDescent="0.25">
      <c r="A23" s="4">
        <v>20</v>
      </c>
      <c r="B23" s="10">
        <f t="shared" si="0"/>
        <v>1.557054376327826</v>
      </c>
      <c r="C23" s="4" t="str">
        <f t="shared" si="3"/>
        <v>дальше</v>
      </c>
    </row>
    <row r="24" spans="1:3" x14ac:dyDescent="0.25">
      <c r="A24" s="12">
        <v>21</v>
      </c>
      <c r="B24" s="10">
        <f t="shared" si="0"/>
        <v>1.5572041839764403</v>
      </c>
      <c r="C24" s="12" t="str">
        <f t="shared" ref="C24" si="4">IF(ABS(B24-B23)&lt;=0.0001,"стоп","дальше")</f>
        <v>дальше</v>
      </c>
    </row>
    <row r="25" spans="1:3" x14ac:dyDescent="0.25">
      <c r="A25" s="38">
        <v>22</v>
      </c>
      <c r="B25" s="10">
        <f t="shared" ref="B25" si="5">B24-(LN(B24)-2+B24)</f>
        <v>1.5571079763906992</v>
      </c>
      <c r="C25" s="38" t="str">
        <f t="shared" ref="C25" si="6">IF(ABS(B25-B24)&lt;=0.0001,"стоп","дальше")</f>
        <v>стоп</v>
      </c>
    </row>
    <row r="26" spans="1:3" x14ac:dyDescent="0.25">
      <c r="A26" s="14"/>
      <c r="B26" s="14"/>
      <c r="C26" s="14"/>
    </row>
    <row r="27" spans="1:3" x14ac:dyDescent="0.25">
      <c r="A27" s="14"/>
      <c r="B27" s="14"/>
      <c r="C27" s="14"/>
    </row>
    <row r="28" spans="1:3" x14ac:dyDescent="0.25">
      <c r="A28" s="14"/>
      <c r="B28" s="14"/>
      <c r="C28" s="14"/>
    </row>
    <row r="29" spans="1:3" x14ac:dyDescent="0.25">
      <c r="A29" s="14"/>
      <c r="B29" s="14"/>
      <c r="C29" s="14"/>
    </row>
    <row r="30" spans="1:3" x14ac:dyDescent="0.25">
      <c r="A30" s="14"/>
      <c r="B30" s="14"/>
      <c r="C30" s="14"/>
    </row>
    <row r="31" spans="1:3" x14ac:dyDescent="0.25">
      <c r="A31" s="14"/>
      <c r="B31" s="14"/>
      <c r="C31" s="14"/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9"/>
  <sheetViews>
    <sheetView workbookViewId="0">
      <selection activeCell="P22" sqref="P22"/>
    </sheetView>
  </sheetViews>
  <sheetFormatPr defaultRowHeight="15" x14ac:dyDescent="0.25"/>
  <cols>
    <col min="1" max="1" width="11.28515625" bestFit="1" customWidth="1"/>
    <col min="2" max="3" width="11.28515625" customWidth="1"/>
    <col min="5" max="5" width="12.140625" customWidth="1"/>
  </cols>
  <sheetData>
    <row r="4" spans="1:5" ht="30" x14ac:dyDescent="0.25">
      <c r="A4" s="15" t="s">
        <v>4</v>
      </c>
      <c r="B4" s="15" t="s">
        <v>9</v>
      </c>
      <c r="C4" s="15" t="s">
        <v>10</v>
      </c>
      <c r="D4" s="16" t="s">
        <v>11</v>
      </c>
      <c r="E4" s="16" t="s">
        <v>6</v>
      </c>
    </row>
    <row r="5" spans="1:5" x14ac:dyDescent="0.25">
      <c r="A5" s="38">
        <v>0</v>
      </c>
      <c r="B5" s="38">
        <v>0.1</v>
      </c>
      <c r="C5" s="38">
        <v>2</v>
      </c>
      <c r="D5" s="38">
        <f>(B5+C5)/2</f>
        <v>1.05</v>
      </c>
      <c r="E5" s="38"/>
    </row>
    <row r="6" spans="1:5" x14ac:dyDescent="0.25">
      <c r="A6" s="38">
        <v>1</v>
      </c>
      <c r="B6" s="38">
        <f>IF((LN(B5)-2+B5)*(LN(C5)-2+C5)&lt;0,B5,C5)</f>
        <v>0.1</v>
      </c>
      <c r="C6" s="38">
        <f>D5</f>
        <v>1.05</v>
      </c>
      <c r="D6" s="38">
        <f>(B6+C6)/2</f>
        <v>0.57500000000000007</v>
      </c>
      <c r="E6" s="38" t="str">
        <f t="shared" ref="E6:E19" si="0">IF(ABS(D6-D5)&lt;0.0001,"СТОП","ДАЛЬШЕ")</f>
        <v>ДАЛЬШЕ</v>
      </c>
    </row>
    <row r="7" spans="1:5" x14ac:dyDescent="0.25">
      <c r="A7" s="38">
        <v>2</v>
      </c>
      <c r="B7" s="38">
        <f t="shared" ref="B7:B19" si="1">IF((LN(B6)-2+B6)*(LN(C6)-2+C6)&lt;0,B6,C6)</f>
        <v>1.05</v>
      </c>
      <c r="C7" s="38">
        <f t="shared" ref="C7:C19" si="2">D6</f>
        <v>0.57500000000000007</v>
      </c>
      <c r="D7" s="38">
        <f t="shared" ref="D7:D19" si="3">(B7+C7)/2</f>
        <v>0.8125</v>
      </c>
      <c r="E7" s="38" t="str">
        <f t="shared" si="0"/>
        <v>ДАЛЬШЕ</v>
      </c>
    </row>
    <row r="8" spans="1:5" x14ac:dyDescent="0.25">
      <c r="A8" s="38">
        <v>3</v>
      </c>
      <c r="B8" s="38">
        <f t="shared" si="1"/>
        <v>0.57500000000000007</v>
      </c>
      <c r="C8" s="38">
        <f t="shared" si="2"/>
        <v>0.8125</v>
      </c>
      <c r="D8" s="38">
        <f t="shared" si="3"/>
        <v>0.69375000000000009</v>
      </c>
      <c r="E8" s="38" t="str">
        <f t="shared" si="0"/>
        <v>ДАЛЬШЕ</v>
      </c>
    </row>
    <row r="9" spans="1:5" x14ac:dyDescent="0.25">
      <c r="A9" s="38">
        <v>4</v>
      </c>
      <c r="B9" s="38">
        <f t="shared" si="1"/>
        <v>0.8125</v>
      </c>
      <c r="C9" s="38">
        <f t="shared" si="2"/>
        <v>0.69375000000000009</v>
      </c>
      <c r="D9" s="38">
        <f t="shared" si="3"/>
        <v>0.75312500000000004</v>
      </c>
      <c r="E9" s="38" t="str">
        <f t="shared" si="0"/>
        <v>ДАЛЬШЕ</v>
      </c>
    </row>
    <row r="10" spans="1:5" x14ac:dyDescent="0.25">
      <c r="A10" s="38">
        <v>5</v>
      </c>
      <c r="B10" s="38">
        <f t="shared" si="1"/>
        <v>0.69375000000000009</v>
      </c>
      <c r="C10" s="38">
        <f t="shared" si="2"/>
        <v>0.75312500000000004</v>
      </c>
      <c r="D10" s="38">
        <f t="shared" si="3"/>
        <v>0.72343750000000007</v>
      </c>
      <c r="E10" s="38" t="str">
        <f t="shared" si="0"/>
        <v>ДАЛЬШЕ</v>
      </c>
    </row>
    <row r="11" spans="1:5" x14ac:dyDescent="0.25">
      <c r="A11" s="38">
        <v>6</v>
      </c>
      <c r="B11" s="38">
        <f t="shared" si="1"/>
        <v>0.75312500000000004</v>
      </c>
      <c r="C11" s="38">
        <f t="shared" si="2"/>
        <v>0.72343750000000007</v>
      </c>
      <c r="D11" s="38">
        <f t="shared" si="3"/>
        <v>0.73828125</v>
      </c>
      <c r="E11" s="38" t="str">
        <f t="shared" si="0"/>
        <v>ДАЛЬШЕ</v>
      </c>
    </row>
    <row r="12" spans="1:5" x14ac:dyDescent="0.25">
      <c r="A12" s="38">
        <v>7</v>
      </c>
      <c r="B12" s="38">
        <f t="shared" si="1"/>
        <v>0.72343750000000007</v>
      </c>
      <c r="C12" s="38">
        <f t="shared" si="2"/>
        <v>0.73828125</v>
      </c>
      <c r="D12" s="38">
        <f t="shared" si="3"/>
        <v>0.73085937500000009</v>
      </c>
      <c r="E12" s="38" t="str">
        <f t="shared" si="0"/>
        <v>ДАЛЬШЕ</v>
      </c>
    </row>
    <row r="13" spans="1:5" x14ac:dyDescent="0.25">
      <c r="A13" s="38">
        <v>8</v>
      </c>
      <c r="B13" s="38">
        <f t="shared" si="1"/>
        <v>0.73828125</v>
      </c>
      <c r="C13" s="38">
        <f t="shared" si="2"/>
        <v>0.73085937500000009</v>
      </c>
      <c r="D13" s="38">
        <f t="shared" si="3"/>
        <v>0.73457031250000004</v>
      </c>
      <c r="E13" s="38" t="str">
        <f t="shared" si="0"/>
        <v>ДАЛЬШЕ</v>
      </c>
    </row>
    <row r="14" spans="1:5" x14ac:dyDescent="0.25">
      <c r="A14" s="38">
        <v>9</v>
      </c>
      <c r="B14" s="38">
        <f t="shared" si="1"/>
        <v>0.73085937500000009</v>
      </c>
      <c r="C14" s="38">
        <f t="shared" si="2"/>
        <v>0.73457031250000004</v>
      </c>
      <c r="D14" s="38">
        <f t="shared" si="3"/>
        <v>0.73271484375000007</v>
      </c>
      <c r="E14" s="38" t="str">
        <f t="shared" si="0"/>
        <v>ДАЛЬШЕ</v>
      </c>
    </row>
    <row r="15" spans="1:5" x14ac:dyDescent="0.25">
      <c r="A15" s="38">
        <v>10</v>
      </c>
      <c r="B15" s="38">
        <f t="shared" si="1"/>
        <v>0.73457031250000004</v>
      </c>
      <c r="C15" s="38">
        <f t="shared" si="2"/>
        <v>0.73271484375000007</v>
      </c>
      <c r="D15" s="38">
        <f t="shared" si="3"/>
        <v>0.733642578125</v>
      </c>
      <c r="E15" s="38" t="str">
        <f t="shared" si="0"/>
        <v>ДАЛЬШЕ</v>
      </c>
    </row>
    <row r="16" spans="1:5" x14ac:dyDescent="0.25">
      <c r="A16" s="38">
        <v>11</v>
      </c>
      <c r="B16" s="38">
        <f t="shared" si="1"/>
        <v>0.73271484375000007</v>
      </c>
      <c r="C16" s="38">
        <f t="shared" si="2"/>
        <v>0.733642578125</v>
      </c>
      <c r="D16" s="38">
        <f t="shared" si="3"/>
        <v>0.73317871093750009</v>
      </c>
      <c r="E16" s="38" t="str">
        <f t="shared" si="0"/>
        <v>ДАЛЬШЕ</v>
      </c>
    </row>
    <row r="17" spans="1:5" x14ac:dyDescent="0.25">
      <c r="A17" s="38">
        <v>12</v>
      </c>
      <c r="B17" s="38">
        <f t="shared" si="1"/>
        <v>0.733642578125</v>
      </c>
      <c r="C17" s="38">
        <f t="shared" si="2"/>
        <v>0.73317871093750009</v>
      </c>
      <c r="D17" s="38">
        <f t="shared" si="3"/>
        <v>0.73341064453125004</v>
      </c>
      <c r="E17" s="38" t="str">
        <f t="shared" si="0"/>
        <v>ДАЛЬШЕ</v>
      </c>
    </row>
    <row r="18" spans="1:5" x14ac:dyDescent="0.25">
      <c r="A18" s="38">
        <v>13</v>
      </c>
      <c r="B18" s="38">
        <f t="shared" si="1"/>
        <v>0.73317871093750009</v>
      </c>
      <c r="C18" s="38">
        <f t="shared" si="2"/>
        <v>0.73341064453125004</v>
      </c>
      <c r="D18" s="38">
        <f t="shared" si="3"/>
        <v>0.73329467773437507</v>
      </c>
      <c r="E18" s="38" t="str">
        <f t="shared" si="0"/>
        <v>ДАЛЬШЕ</v>
      </c>
    </row>
    <row r="19" spans="1:5" x14ac:dyDescent="0.25">
      <c r="A19" s="38">
        <v>14</v>
      </c>
      <c r="B19" s="38">
        <f t="shared" si="1"/>
        <v>0.73341064453125004</v>
      </c>
      <c r="C19" s="38">
        <f t="shared" si="2"/>
        <v>0.73329467773437507</v>
      </c>
      <c r="D19" s="38">
        <f t="shared" si="3"/>
        <v>0.7333526611328125</v>
      </c>
      <c r="E19" s="38" t="str">
        <f t="shared" si="0"/>
        <v>СТОП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37"/>
  <sheetViews>
    <sheetView workbookViewId="0">
      <selection activeCell="L6" sqref="L6"/>
    </sheetView>
  </sheetViews>
  <sheetFormatPr defaultRowHeight="15" x14ac:dyDescent="0.25"/>
  <cols>
    <col min="2" max="2" width="9.140625" bestFit="1" customWidth="1"/>
    <col min="3" max="5" width="12.7109375" bestFit="1" customWidth="1"/>
    <col min="7" max="7" width="16.42578125" bestFit="1" customWidth="1"/>
    <col min="10" max="10" width="4.5703125" customWidth="1"/>
    <col min="11" max="11" width="12.7109375" bestFit="1" customWidth="1"/>
    <col min="12" max="12" width="9" bestFit="1" customWidth="1"/>
    <col min="14" max="14" width="4.85546875" customWidth="1"/>
  </cols>
  <sheetData>
    <row r="6" spans="1:17" x14ac:dyDescent="0.25">
      <c r="B6" s="48" t="s">
        <v>12</v>
      </c>
      <c r="C6" s="48"/>
      <c r="D6" s="48"/>
      <c r="E6" s="48"/>
      <c r="G6" s="49" t="s">
        <v>16</v>
      </c>
      <c r="H6" s="50"/>
      <c r="I6" s="51"/>
    </row>
    <row r="7" spans="1:17" x14ac:dyDescent="0.25">
      <c r="A7" s="8">
        <v>1</v>
      </c>
      <c r="B7" s="5">
        <v>9.1</v>
      </c>
      <c r="C7" s="5">
        <v>5.6</v>
      </c>
      <c r="D7" s="5">
        <v>7.8</v>
      </c>
      <c r="E7" s="5">
        <v>9.8000000000000007</v>
      </c>
      <c r="G7" s="5">
        <v>9.1</v>
      </c>
      <c r="H7" s="5">
        <v>5.6</v>
      </c>
      <c r="I7" s="5">
        <v>7.8</v>
      </c>
    </row>
    <row r="8" spans="1:17" x14ac:dyDescent="0.25">
      <c r="B8" s="5">
        <v>3.8</v>
      </c>
      <c r="C8" s="5">
        <v>5.0999999999999996</v>
      </c>
      <c r="D8" s="5">
        <v>2.8</v>
      </c>
      <c r="E8" s="5">
        <v>6.7</v>
      </c>
      <c r="G8" s="5">
        <v>3.8</v>
      </c>
      <c r="H8" s="5">
        <v>5.0999999999999996</v>
      </c>
      <c r="I8" s="5">
        <v>2.8</v>
      </c>
    </row>
    <row r="9" spans="1:17" x14ac:dyDescent="0.25">
      <c r="B9" s="5">
        <v>4.0999999999999996</v>
      </c>
      <c r="C9" s="5">
        <v>5.7</v>
      </c>
      <c r="D9" s="5">
        <v>1.2</v>
      </c>
      <c r="E9" s="5">
        <v>5.8</v>
      </c>
      <c r="G9" s="5">
        <v>4.0999999999999996</v>
      </c>
      <c r="H9" s="5">
        <v>5.7</v>
      </c>
      <c r="I9" s="5">
        <v>1.2</v>
      </c>
    </row>
    <row r="10" spans="1:17" x14ac:dyDescent="0.25">
      <c r="G10" s="40" t="s">
        <v>17</v>
      </c>
      <c r="H10" s="39">
        <f>MDETERM(G7:I9)</f>
        <v>-44.941999999999979</v>
      </c>
    </row>
    <row r="11" spans="1:17" x14ac:dyDescent="0.25">
      <c r="A11">
        <v>2</v>
      </c>
      <c r="B11" s="24">
        <f t="array" ref="B11:D13">MINVERSE(B7:D9)</f>
        <v>0.21894886742913106</v>
      </c>
      <c r="C11" s="24">
        <v>-0.83974900983489875</v>
      </c>
      <c r="D11" s="24">
        <v>0.53624671799207868</v>
      </c>
    </row>
    <row r="12" spans="1:17" x14ac:dyDescent="0.25">
      <c r="B12" s="24">
        <v>-0.15397623603755958</v>
      </c>
      <c r="C12" s="24">
        <v>0.46860397846112783</v>
      </c>
      <c r="D12" s="24">
        <v>-9.2563748831827677E-2</v>
      </c>
    </row>
    <row r="13" spans="1:17" x14ac:dyDescent="0.25">
      <c r="B13" s="24">
        <v>-1.6688175871122941E-2</v>
      </c>
      <c r="C13" s="24">
        <v>0.64327355257887986</v>
      </c>
      <c r="D13" s="24">
        <v>-0.55916514618842073</v>
      </c>
      <c r="G13" s="5">
        <v>9.8000000000000007</v>
      </c>
      <c r="H13" s="5">
        <v>5.6</v>
      </c>
      <c r="I13" s="5">
        <v>7.8</v>
      </c>
      <c r="K13" s="5">
        <v>9.1</v>
      </c>
      <c r="L13" s="5">
        <v>9.8000000000000007</v>
      </c>
      <c r="M13" s="5">
        <v>7.8</v>
      </c>
      <c r="O13" s="5">
        <v>9.1</v>
      </c>
      <c r="P13" s="5">
        <v>5.6</v>
      </c>
      <c r="Q13" s="5">
        <v>9.8000000000000007</v>
      </c>
    </row>
    <row r="14" spans="1:17" x14ac:dyDescent="0.25">
      <c r="G14" s="5">
        <v>6.7</v>
      </c>
      <c r="H14" s="5">
        <v>5.0999999999999996</v>
      </c>
      <c r="I14" s="5">
        <v>2.8</v>
      </c>
      <c r="K14" s="5">
        <v>3.8</v>
      </c>
      <c r="L14" s="5">
        <v>6.7</v>
      </c>
      <c r="M14" s="5">
        <v>2.8</v>
      </c>
      <c r="O14" s="5">
        <v>3.8</v>
      </c>
      <c r="P14" s="5">
        <v>5.0999999999999996</v>
      </c>
      <c r="Q14" s="5">
        <v>6.7</v>
      </c>
    </row>
    <row r="15" spans="1:17" x14ac:dyDescent="0.25">
      <c r="A15">
        <v>3</v>
      </c>
      <c r="B15" s="41" t="s">
        <v>13</v>
      </c>
      <c r="C15" s="12">
        <f t="array" ref="C15:C17">MMULT(B11:D13,E7:E9)</f>
        <v>-0.37038850073428087</v>
      </c>
      <c r="G15" s="5">
        <v>5.8</v>
      </c>
      <c r="H15" s="5">
        <v>5.7</v>
      </c>
      <c r="I15" s="5">
        <v>1.2</v>
      </c>
      <c r="K15" s="5">
        <v>4.0999999999999996</v>
      </c>
      <c r="L15" s="5">
        <v>5.8</v>
      </c>
      <c r="M15" s="5">
        <v>1.2</v>
      </c>
      <c r="O15" s="5">
        <v>4.0999999999999996</v>
      </c>
      <c r="P15" s="5">
        <v>5.7</v>
      </c>
      <c r="Q15" s="5">
        <v>5.8</v>
      </c>
    </row>
    <row r="16" spans="1:17" x14ac:dyDescent="0.25">
      <c r="B16" s="41" t="s">
        <v>14</v>
      </c>
      <c r="C16" s="12">
        <v>1.0938097992968721</v>
      </c>
      <c r="G16" s="40" t="s">
        <v>21</v>
      </c>
      <c r="H16" s="38">
        <f>MDETERM(G13:I15)</f>
        <v>16.646000000000004</v>
      </c>
      <c r="K16" s="40" t="s">
        <v>22</v>
      </c>
      <c r="L16" s="38">
        <f>MDETERM(K13:M15)</f>
        <v>-49.157999999999987</v>
      </c>
      <c r="O16" s="40" t="s">
        <v>23</v>
      </c>
      <c r="P16" s="38">
        <f>MDETERM(O13:Q15)</f>
        <v>-40.593000000000018</v>
      </c>
    </row>
    <row r="17" spans="2:16" x14ac:dyDescent="0.25">
      <c r="B17" s="41" t="s">
        <v>15</v>
      </c>
      <c r="C17" s="12">
        <v>0.90323083084865052</v>
      </c>
      <c r="G17" s="41" t="s">
        <v>18</v>
      </c>
      <c r="H17" s="38">
        <f>H16/H10</f>
        <v>-0.37038850073428004</v>
      </c>
      <c r="I17" s="39"/>
      <c r="J17" s="39"/>
      <c r="K17" s="41" t="s">
        <v>19</v>
      </c>
      <c r="L17" s="38">
        <f>L16/H10</f>
        <v>1.0938097992968718</v>
      </c>
      <c r="M17" s="39"/>
      <c r="N17" s="39"/>
      <c r="O17" s="41" t="s">
        <v>20</v>
      </c>
      <c r="P17" s="38">
        <f>P16/H10</f>
        <v>0.90323083084865019</v>
      </c>
    </row>
    <row r="18" spans="2:16" x14ac:dyDescent="0.25">
      <c r="J18" s="13"/>
      <c r="K18" s="13"/>
      <c r="N18" s="13"/>
      <c r="O18" s="13"/>
    </row>
    <row r="20" spans="2:16" x14ac:dyDescent="0.25">
      <c r="B20" s="48" t="s">
        <v>24</v>
      </c>
      <c r="C20" s="48"/>
      <c r="D20" s="48"/>
      <c r="E20" s="48"/>
      <c r="F20" s="48"/>
      <c r="G20" s="48"/>
    </row>
    <row r="21" spans="2:16" x14ac:dyDescent="0.25">
      <c r="B21" s="46" t="s">
        <v>25</v>
      </c>
      <c r="C21" s="46"/>
      <c r="D21" s="46"/>
      <c r="E21" s="5" t="s">
        <v>26</v>
      </c>
      <c r="F21" s="5" t="s">
        <v>27</v>
      </c>
      <c r="G21" s="5" t="s">
        <v>28</v>
      </c>
    </row>
    <row r="22" spans="2:16" x14ac:dyDescent="0.25">
      <c r="B22" s="5">
        <v>9.1</v>
      </c>
      <c r="C22" s="5">
        <v>5.6</v>
      </c>
      <c r="D22" s="5">
        <v>7.8</v>
      </c>
      <c r="E22" s="5">
        <v>9.8000000000000007</v>
      </c>
      <c r="F22" s="44"/>
      <c r="G22" s="42">
        <f>B7</f>
        <v>9.1</v>
      </c>
    </row>
    <row r="23" spans="2:16" x14ac:dyDescent="0.25">
      <c r="B23" s="5">
        <v>3.8</v>
      </c>
      <c r="C23" s="5">
        <v>5.0999999999999996</v>
      </c>
      <c r="D23" s="5">
        <v>2.8</v>
      </c>
      <c r="E23" s="5">
        <v>6.7</v>
      </c>
      <c r="F23" s="44"/>
      <c r="G23" s="42"/>
      <c r="K23" s="48" t="s">
        <v>30</v>
      </c>
      <c r="L23" s="48"/>
      <c r="M23" s="48"/>
      <c r="N23" s="48"/>
      <c r="O23" s="48"/>
    </row>
    <row r="24" spans="2:16" ht="15.75" thickBot="1" x14ac:dyDescent="0.3">
      <c r="B24" s="5">
        <v>4.0999999999999996</v>
      </c>
      <c r="C24" s="5">
        <v>5.7</v>
      </c>
      <c r="D24" s="5">
        <v>1.2</v>
      </c>
      <c r="E24" s="5">
        <v>5.8</v>
      </c>
      <c r="F24" s="45"/>
      <c r="G24" s="43"/>
      <c r="K24" s="5">
        <v>9.1</v>
      </c>
      <c r="L24" s="5">
        <v>5.6</v>
      </c>
      <c r="M24" s="5">
        <v>7.8</v>
      </c>
      <c r="O24" s="19">
        <f>H17</f>
        <v>-0.37038850073428004</v>
      </c>
    </row>
    <row r="25" spans="2:16" ht="15.75" thickTop="1" x14ac:dyDescent="0.25">
      <c r="J25" s="2"/>
      <c r="K25" s="5">
        <v>3.8</v>
      </c>
      <c r="L25" s="5">
        <v>5.0999999999999996</v>
      </c>
      <c r="M25" s="5">
        <v>2.8</v>
      </c>
      <c r="O25" s="5">
        <f>L17</f>
        <v>1.0938097992968718</v>
      </c>
    </row>
    <row r="26" spans="2:16" x14ac:dyDescent="0.25">
      <c r="B26" s="5">
        <f t="array" ref="B26:E26">B22:E22/B22</f>
        <v>1</v>
      </c>
      <c r="C26" s="5">
        <v>0.61538461538461542</v>
      </c>
      <c r="D26" s="5">
        <v>0.85714285714285721</v>
      </c>
      <c r="E26" s="20">
        <v>1.0769230769230771</v>
      </c>
      <c r="F26" s="44"/>
      <c r="G26" s="42"/>
      <c r="K26" s="5">
        <v>4.0999999999999996</v>
      </c>
      <c r="L26" s="5">
        <v>5.7</v>
      </c>
      <c r="M26" s="5">
        <v>1.2</v>
      </c>
      <c r="O26" s="5">
        <f>C17</f>
        <v>0.90323083084865052</v>
      </c>
    </row>
    <row r="27" spans="2:16" x14ac:dyDescent="0.25">
      <c r="B27" s="5">
        <f t="array" ref="B27:E27">B23:E23-$B$26:$E$26*B23</f>
        <v>0</v>
      </c>
      <c r="C27" s="5">
        <v>2.7615384615384611</v>
      </c>
      <c r="D27" s="5">
        <v>-0.4571428571428573</v>
      </c>
      <c r="E27" s="20">
        <v>2.6076923076923073</v>
      </c>
      <c r="F27" s="44"/>
      <c r="G27" s="42">
        <f>C27</f>
        <v>2.7615384615384611</v>
      </c>
      <c r="J27" s="23"/>
    </row>
    <row r="28" spans="2:16" ht="15.75" thickBot="1" x14ac:dyDescent="0.3">
      <c r="B28" s="21">
        <f t="array" ref="B28:E28">B24:E24-$B$26:$E$26*B24</f>
        <v>0</v>
      </c>
      <c r="C28" s="21">
        <v>3.1769230769230772</v>
      </c>
      <c r="D28" s="21">
        <v>-2.3142857142857141</v>
      </c>
      <c r="E28" s="22">
        <v>1.3846153846153841</v>
      </c>
      <c r="F28" s="45"/>
      <c r="G28" s="43"/>
      <c r="K28" s="5">
        <f t="array" ref="K28:K30">MMULT(K24:M26,O24:O26)</f>
        <v>9.8000000000000078</v>
      </c>
    </row>
    <row r="29" spans="2:16" ht="15.75" thickTop="1" x14ac:dyDescent="0.25">
      <c r="K29" s="5">
        <v>6.7000000000000037</v>
      </c>
    </row>
    <row r="30" spans="2:16" x14ac:dyDescent="0.25">
      <c r="B30" s="5">
        <v>1</v>
      </c>
      <c r="C30" s="5">
        <f>C26</f>
        <v>0.61538461538461542</v>
      </c>
      <c r="D30" s="5">
        <f>D26</f>
        <v>0.85714285714285721</v>
      </c>
      <c r="E30" s="20">
        <f>E26</f>
        <v>1.0769230769230771</v>
      </c>
      <c r="F30" s="44"/>
      <c r="G30" s="42"/>
      <c r="K30" s="5">
        <v>5.8000000000000025</v>
      </c>
    </row>
    <row r="31" spans="2:16" x14ac:dyDescent="0.25">
      <c r="B31" s="5">
        <f t="array" ref="B31:E31">B27:E27/C27</f>
        <v>0</v>
      </c>
      <c r="C31" s="5">
        <v>1</v>
      </c>
      <c r="D31" s="5">
        <v>-0.16553919617986479</v>
      </c>
      <c r="E31" s="20">
        <v>0.94428969359331483</v>
      </c>
      <c r="F31" s="44"/>
      <c r="G31" s="42"/>
    </row>
    <row r="32" spans="2:16" ht="15.75" thickBot="1" x14ac:dyDescent="0.3">
      <c r="B32" s="21">
        <f t="array" ref="B32:E32">B28:E28-$B$31:$E$31*C28</f>
        <v>0</v>
      </c>
      <c r="C32" s="21">
        <v>0</v>
      </c>
      <c r="D32" s="21">
        <v>-1.7883804218066051</v>
      </c>
      <c r="E32" s="22">
        <v>-1.6153203342618392</v>
      </c>
      <c r="F32" s="45"/>
      <c r="G32" s="43">
        <f>D32</f>
        <v>-1.7883804218066051</v>
      </c>
    </row>
    <row r="33" spans="2:7" ht="15.75" thickTop="1" x14ac:dyDescent="0.25"/>
    <row r="34" spans="2:7" x14ac:dyDescent="0.25">
      <c r="B34" s="5">
        <v>1</v>
      </c>
      <c r="C34" s="5">
        <f>C26</f>
        <v>0.61538461538461542</v>
      </c>
      <c r="D34" s="5">
        <f>D26</f>
        <v>0.85714285714285721</v>
      </c>
      <c r="E34" s="20">
        <f>E26</f>
        <v>1.0769230769230771</v>
      </c>
      <c r="F34" s="44">
        <f>E34-D34*F36-C34*F35</f>
        <v>-0.37038850073428042</v>
      </c>
      <c r="G34" s="42" t="s">
        <v>29</v>
      </c>
    </row>
    <row r="35" spans="2:7" x14ac:dyDescent="0.25">
      <c r="B35" s="5">
        <v>0</v>
      </c>
      <c r="C35" s="5">
        <v>1</v>
      </c>
      <c r="D35" s="5">
        <f>D31</f>
        <v>-0.16553919617986479</v>
      </c>
      <c r="E35" s="20">
        <f>E31</f>
        <v>0.94428969359331483</v>
      </c>
      <c r="F35" s="44">
        <f>E35-D35*F36</f>
        <v>1.0938097992968718</v>
      </c>
      <c r="G35" s="42">
        <f>G22*G27*G32</f>
        <v>-44.941999999999979</v>
      </c>
    </row>
    <row r="36" spans="2:7" ht="15.75" thickBot="1" x14ac:dyDescent="0.3">
      <c r="B36" s="21">
        <f t="array" ref="B36:E36">B32:E32/D32</f>
        <v>0</v>
      </c>
      <c r="C36" s="21">
        <v>0</v>
      </c>
      <c r="D36" s="21">
        <v>1</v>
      </c>
      <c r="E36" s="22">
        <v>0.90323083084865008</v>
      </c>
      <c r="F36" s="45">
        <f>E36</f>
        <v>0.90323083084865008</v>
      </c>
      <c r="G36" s="43"/>
    </row>
    <row r="37" spans="2:7" ht="15.75" thickTop="1" x14ac:dyDescent="0.25"/>
  </sheetData>
  <mergeCells count="5">
    <mergeCell ref="B6:E6"/>
    <mergeCell ref="B20:G20"/>
    <mergeCell ref="B21:D21"/>
    <mergeCell ref="K23:O23"/>
    <mergeCell ref="G6:I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abSelected="1" zoomScaleNormal="100" workbookViewId="0">
      <selection activeCell="H25" sqref="H25"/>
    </sheetView>
  </sheetViews>
  <sheetFormatPr defaultRowHeight="15" x14ac:dyDescent="0.25"/>
  <sheetData>
    <row r="1" spans="1:22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x14ac:dyDescent="0.25">
      <c r="A2" s="35"/>
      <c r="B2" s="37">
        <v>-0.5</v>
      </c>
      <c r="C2" s="37">
        <f>B2+0.225</f>
        <v>-0.27500000000000002</v>
      </c>
      <c r="D2" s="37">
        <f t="shared" ref="D2:V2" si="0">C2+0.225</f>
        <v>-5.0000000000000017E-2</v>
      </c>
      <c r="E2" s="37">
        <f t="shared" si="0"/>
        <v>0.17499999999999999</v>
      </c>
      <c r="F2" s="37">
        <f t="shared" si="0"/>
        <v>0.4</v>
      </c>
      <c r="G2" s="37">
        <f t="shared" si="0"/>
        <v>0.625</v>
      </c>
      <c r="H2" s="37">
        <f t="shared" si="0"/>
        <v>0.85</v>
      </c>
      <c r="I2" s="37">
        <f t="shared" si="0"/>
        <v>1.075</v>
      </c>
      <c r="J2" s="37">
        <f t="shared" si="0"/>
        <v>1.3</v>
      </c>
      <c r="K2" s="37">
        <f t="shared" si="0"/>
        <v>1.5250000000000001</v>
      </c>
      <c r="L2" s="37">
        <f t="shared" si="0"/>
        <v>1.7500000000000002</v>
      </c>
      <c r="M2" s="37">
        <f t="shared" si="0"/>
        <v>1.9750000000000003</v>
      </c>
      <c r="N2" s="37">
        <f t="shared" si="0"/>
        <v>2.2000000000000002</v>
      </c>
      <c r="O2" s="37">
        <f t="shared" si="0"/>
        <v>2.4250000000000003</v>
      </c>
      <c r="P2" s="37">
        <f t="shared" si="0"/>
        <v>2.6500000000000004</v>
      </c>
      <c r="Q2" s="37">
        <f t="shared" si="0"/>
        <v>2.8750000000000004</v>
      </c>
      <c r="R2" s="37">
        <f t="shared" si="0"/>
        <v>3.1000000000000005</v>
      </c>
      <c r="S2" s="37">
        <f t="shared" si="0"/>
        <v>3.3250000000000006</v>
      </c>
      <c r="T2" s="37">
        <f t="shared" si="0"/>
        <v>3.5500000000000007</v>
      </c>
      <c r="U2" s="37">
        <f t="shared" si="0"/>
        <v>3.7750000000000008</v>
      </c>
      <c r="V2" s="37">
        <f t="shared" si="0"/>
        <v>4.0000000000000009</v>
      </c>
    </row>
    <row r="3" spans="1:22" x14ac:dyDescent="0.25">
      <c r="A3" s="36">
        <f>B2</f>
        <v>-0.5</v>
      </c>
      <c r="B3" s="35">
        <f>(COS(B$2+1)+$A3-0.5)^2+(B$2-COS($A3)-3)^2</f>
        <v>19.178215115320004</v>
      </c>
      <c r="C3" s="35">
        <f t="shared" ref="C3:R18" si="1">(COS(C$2+1)+$A3-0.5)^2+(C$2-COS($A3)-3)^2</f>
        <v>17.307194474067369</v>
      </c>
      <c r="D3" s="35">
        <f t="shared" si="1"/>
        <v>15.600893818105824</v>
      </c>
      <c r="E3" s="35">
        <f t="shared" si="1"/>
        <v>14.086674941996028</v>
      </c>
      <c r="F3" s="35">
        <f t="shared" si="1"/>
        <v>12.782535018629197</v>
      </c>
      <c r="G3" s="35">
        <f t="shared" si="1"/>
        <v>11.69058275392694</v>
      </c>
      <c r="H3" s="35">
        <f t="shared" si="1"/>
        <v>10.793386646856494</v>
      </c>
      <c r="I3" s="35">
        <f t="shared" si="1"/>
        <v>10.054085362420398</v>
      </c>
      <c r="J3" s="35">
        <f t="shared" si="1"/>
        <v>9.4204076424534584</v>
      </c>
      <c r="K3" s="35">
        <f t="shared" si="1"/>
        <v>8.8319687033017331</v>
      </c>
      <c r="L3" s="35">
        <f t="shared" si="1"/>
        <v>8.2295472020705596</v>
      </c>
      <c r="M3" s="35">
        <f t="shared" si="1"/>
        <v>7.5646341041666902</v>
      </c>
      <c r="N3" s="35">
        <f t="shared" si="1"/>
        <v>6.8074652629272681</v>
      </c>
      <c r="O3" s="35">
        <f t="shared" si="1"/>
        <v>5.9520203401965848</v>
      </c>
      <c r="P3" s="35">
        <f t="shared" si="1"/>
        <v>5.0170395003157582</v>
      </c>
      <c r="Q3" s="35">
        <f t="shared" si="1"/>
        <v>4.0428646223122851</v>
      </c>
      <c r="R3" s="35">
        <f t="shared" si="1"/>
        <v>3.0847051031306139</v>
      </c>
      <c r="S3" s="35">
        <f t="shared" ref="S3:V18" si="2">(COS(S$2+1)+$A3-0.5)^2+(S$2-COS($A3)-3)^2</f>
        <v>2.2036036297089563</v>
      </c>
      <c r="T3" s="35">
        <f t="shared" si="2"/>
        <v>1.4568019664964742</v>
      </c>
      <c r="U3" s="35">
        <f t="shared" si="2"/>
        <v>0.88929796134347061</v>
      </c>
      <c r="V3" s="35">
        <f t="shared" si="2"/>
        <v>0.52812589368864471</v>
      </c>
    </row>
    <row r="4" spans="1:22" x14ac:dyDescent="0.25">
      <c r="A4" s="36">
        <f>A3+0.225</f>
        <v>-0.27500000000000002</v>
      </c>
      <c r="B4" s="35">
        <f t="shared" ref="B4:B23" si="3">(COS(B$2+1)+$A4-0.5)^2+(B$2-COS($A4)-3)^2</f>
        <v>19.923761826431409</v>
      </c>
      <c r="C4" s="35">
        <f t="shared" si="1"/>
        <v>17.956474586130842</v>
      </c>
      <c r="D4" s="35">
        <f t="shared" si="1"/>
        <v>16.136927394461228</v>
      </c>
      <c r="E4" s="35">
        <f t="shared" si="1"/>
        <v>14.496266325137821</v>
      </c>
      <c r="F4" s="35">
        <f t="shared" si="1"/>
        <v>13.056938046866888</v>
      </c>
      <c r="G4" s="35">
        <f t="shared" si="1"/>
        <v>11.825941671015361</v>
      </c>
      <c r="H4" s="35">
        <f t="shared" si="1"/>
        <v>10.790930477553967</v>
      </c>
      <c r="I4" s="35">
        <f t="shared" si="1"/>
        <v>9.9200659551557955</v>
      </c>
      <c r="J4" s="35">
        <f t="shared" si="1"/>
        <v>9.1657845024819622</v>
      </c>
      <c r="K4" s="35">
        <f t="shared" si="1"/>
        <v>8.4718565044727647</v>
      </c>
      <c r="L4" s="35">
        <f t="shared" si="1"/>
        <v>7.782453829126295</v>
      </c>
      <c r="M4" s="35">
        <f t="shared" si="1"/>
        <v>7.0515276372196922</v>
      </c>
      <c r="N4" s="35">
        <f t="shared" si="1"/>
        <v>6.2507169390958968</v>
      </c>
      <c r="O4" s="35">
        <f t="shared" si="1"/>
        <v>5.3742767795899224</v>
      </c>
      <c r="P4" s="35">
        <f t="shared" si="1"/>
        <v>4.4400810494701748</v>
      </c>
      <c r="Q4" s="35">
        <f t="shared" si="1"/>
        <v>3.4865073680258347</v>
      </c>
      <c r="R4" s="35">
        <f t="shared" si="1"/>
        <v>2.5658019081387522</v>
      </c>
      <c r="S4" s="35">
        <f t="shared" si="2"/>
        <v>1.7351945497771568</v>
      </c>
      <c r="T4" s="35">
        <f t="shared" si="2"/>
        <v>1.0474568779213471</v>
      </c>
      <c r="U4" s="35">
        <f t="shared" si="2"/>
        <v>0.54268453818403328</v>
      </c>
      <c r="V4" s="35">
        <f t="shared" si="2"/>
        <v>0.24282471376704926</v>
      </c>
    </row>
    <row r="5" spans="1:22" x14ac:dyDescent="0.25">
      <c r="A5" s="36">
        <f t="shared" ref="A5:A23" si="4">A4+0.225</f>
        <v>-5.0000000000000017E-2</v>
      </c>
      <c r="B5" s="35">
        <f t="shared" si="3"/>
        <v>20.346064240258436</v>
      </c>
      <c r="C5" s="35">
        <f t="shared" si="1"/>
        <v>18.30434330874694</v>
      </c>
      <c r="D5" s="35">
        <f t="shared" si="1"/>
        <v>16.393382489206282</v>
      </c>
      <c r="E5" s="35">
        <f t="shared" si="1"/>
        <v>14.648112134506269</v>
      </c>
      <c r="F5" s="35">
        <f t="shared" si="1"/>
        <v>13.095428409168244</v>
      </c>
      <c r="G5" s="35">
        <f t="shared" si="1"/>
        <v>11.747220830004458</v>
      </c>
      <c r="H5" s="35">
        <f t="shared" si="1"/>
        <v>10.596227457989126</v>
      </c>
      <c r="I5" s="35">
        <f t="shared" si="1"/>
        <v>9.6156326054658887</v>
      </c>
      <c r="J5" s="35">
        <f t="shared" si="1"/>
        <v>8.7625803279221781</v>
      </c>
      <c r="K5" s="35">
        <f t="shared" si="1"/>
        <v>7.9849961788925174</v>
      </c>
      <c r="L5" s="35">
        <f t="shared" si="1"/>
        <v>7.2304452372677694</v>
      </c>
      <c r="M5" s="35">
        <f t="shared" si="1"/>
        <v>6.4553388591954386</v>
      </c>
      <c r="N5" s="35">
        <f t="shared" si="1"/>
        <v>5.6327192120242833</v>
      </c>
      <c r="O5" s="35">
        <f t="shared" si="1"/>
        <v>4.7571167235800313</v>
      </c>
      <c r="P5" s="35">
        <f t="shared" si="1"/>
        <v>3.8455390110583725</v>
      </c>
      <c r="Q5" s="35">
        <f t="shared" si="1"/>
        <v>2.9343994340101776</v>
      </c>
      <c r="R5" s="35">
        <f t="shared" si="1"/>
        <v>2.0729809412546962</v>
      </c>
      <c r="S5" s="35">
        <f t="shared" si="2"/>
        <v>1.3147006057901742</v>
      </c>
      <c r="T5" s="35">
        <f t="shared" si="2"/>
        <v>0.70785983312804734</v>
      </c>
      <c r="U5" s="35">
        <f t="shared" si="2"/>
        <v>0.28765206664343534</v>
      </c>
      <c r="V5" s="35">
        <f t="shared" si="2"/>
        <v>7.0937393301304802E-2</v>
      </c>
    </row>
    <row r="6" spans="1:22" x14ac:dyDescent="0.25">
      <c r="A6" s="36">
        <f t="shared" si="4"/>
        <v>0.17499999999999999</v>
      </c>
      <c r="B6" s="35">
        <f t="shared" si="3"/>
        <v>20.418119616463549</v>
      </c>
      <c r="C6" s="35">
        <f t="shared" si="1"/>
        <v>18.324621946656681</v>
      </c>
      <c r="D6" s="35">
        <f t="shared" si="1"/>
        <v>16.344904452160506</v>
      </c>
      <c r="E6" s="35">
        <f t="shared" si="1"/>
        <v>14.517681764999429</v>
      </c>
      <c r="F6" s="35">
        <f t="shared" si="1"/>
        <v>12.874299545509857</v>
      </c>
      <c r="G6" s="35">
        <f t="shared" si="1"/>
        <v>11.431537715949357</v>
      </c>
      <c r="H6" s="35">
        <f t="shared" si="1"/>
        <v>10.187219118295634</v>
      </c>
      <c r="I6" s="35">
        <f t="shared" si="1"/>
        <v>9.1195508885628715</v>
      </c>
      <c r="J6" s="35">
        <f t="shared" si="1"/>
        <v>8.1903847390648217</v>
      </c>
      <c r="K6" s="35">
        <f t="shared" si="1"/>
        <v>7.351801391930243</v>
      </c>
      <c r="L6" s="35">
        <f t="shared" si="1"/>
        <v>6.5547591369427538</v>
      </c>
      <c r="M6" s="35">
        <f t="shared" si="1"/>
        <v>5.7581295256202454</v>
      </c>
      <c r="N6" s="35">
        <f t="shared" si="1"/>
        <v>4.9363578823172674</v>
      </c>
      <c r="O6" s="35">
        <f t="shared" si="1"/>
        <v>4.0842500178502812</v>
      </c>
      <c r="P6" s="35">
        <f t="shared" si="1"/>
        <v>3.2179472758422536</v>
      </c>
      <c r="Q6" s="35">
        <f t="shared" si="1"/>
        <v>2.3718987561057467</v>
      </c>
      <c r="R6" s="35">
        <f t="shared" si="1"/>
        <v>1.592424183397408</v>
      </c>
      <c r="S6" s="35">
        <f t="shared" si="2"/>
        <v>0.92912782374550229</v>
      </c>
      <c r="T6" s="35">
        <f t="shared" si="2"/>
        <v>0.42584090319260132</v>
      </c>
      <c r="U6" s="35">
        <f t="shared" si="2"/>
        <v>0.11285466287623365</v>
      </c>
      <c r="V6" s="35">
        <f t="shared" si="2"/>
        <v>1.9420935244991732E-3</v>
      </c>
    </row>
    <row r="7" spans="1:22" x14ac:dyDescent="0.25">
      <c r="A7" s="36">
        <f t="shared" si="4"/>
        <v>0.4</v>
      </c>
      <c r="B7" s="35">
        <f t="shared" si="3"/>
        <v>20.150414953249776</v>
      </c>
      <c r="C7" s="35">
        <f t="shared" si="1"/>
        <v>18.027479365682925</v>
      </c>
      <c r="D7" s="35">
        <f t="shared" si="1"/>
        <v>16.001344016766652</v>
      </c>
      <c r="E7" s="35">
        <f t="shared" si="1"/>
        <v>14.11450781767992</v>
      </c>
      <c r="F7" s="35">
        <f t="shared" si="1"/>
        <v>12.402765924574208</v>
      </c>
      <c r="G7" s="35">
        <f t="shared" si="1"/>
        <v>10.887788665152401</v>
      </c>
      <c r="H7" s="35">
        <f t="shared" si="1"/>
        <v>9.5724836623956868</v>
      </c>
      <c r="I7" s="35">
        <f t="shared" si="1"/>
        <v>8.4400808759888086</v>
      </c>
      <c r="J7" s="35">
        <f t="shared" si="1"/>
        <v>7.4571396750718302</v>
      </c>
      <c r="K7" s="35">
        <f t="shared" si="1"/>
        <v>6.5798959503677379</v>
      </c>
      <c r="L7" s="35">
        <f t="shared" si="1"/>
        <v>5.7627012025529183</v>
      </c>
      <c r="M7" s="35">
        <f t="shared" si="1"/>
        <v>4.9668871785156341</v>
      </c>
      <c r="N7" s="35">
        <f t="shared" si="1"/>
        <v>4.168302359616245</v>
      </c>
      <c r="O7" s="35">
        <f t="shared" si="1"/>
        <v>3.3620279396619299</v>
      </c>
      <c r="P7" s="35">
        <f t="shared" si="1"/>
        <v>2.5633389887029416</v>
      </c>
      <c r="Q7" s="35">
        <f t="shared" si="1"/>
        <v>1.8047203468135287</v>
      </c>
      <c r="R7" s="35">
        <f t="shared" si="1"/>
        <v>1.1295285146877405</v>
      </c>
      <c r="S7" s="35">
        <f t="shared" si="2"/>
        <v>0.5835549513838576</v>
      </c>
      <c r="T7" s="35">
        <f t="shared" si="2"/>
        <v>0.20616070347558949</v>
      </c>
      <c r="U7" s="35">
        <f t="shared" si="2"/>
        <v>2.2734809862873028E-2</v>
      </c>
      <c r="V7" s="35">
        <f t="shared" si="2"/>
        <v>3.9963165036941549E-2</v>
      </c>
    </row>
    <row r="8" spans="1:22" x14ac:dyDescent="0.25">
      <c r="A8" s="36">
        <f t="shared" si="4"/>
        <v>0.625</v>
      </c>
      <c r="B8" s="35">
        <f t="shared" si="3"/>
        <v>19.589574811140817</v>
      </c>
      <c r="C8" s="35">
        <f t="shared" si="1"/>
        <v>17.458095854132036</v>
      </c>
      <c r="D8" s="35">
        <f t="shared" si="1"/>
        <v>15.406437199113684</v>
      </c>
      <c r="E8" s="35">
        <f t="shared" si="1"/>
        <v>13.480882036419324</v>
      </c>
      <c r="F8" s="35">
        <f t="shared" si="1"/>
        <v>11.7216750180155</v>
      </c>
      <c r="G8" s="35">
        <f t="shared" si="1"/>
        <v>10.155376877050411</v>
      </c>
      <c r="H8" s="35">
        <f t="shared" si="1"/>
        <v>8.7899800175087375</v>
      </c>
      <c r="I8" s="35">
        <f t="shared" si="1"/>
        <v>7.6137372227457751</v>
      </c>
      <c r="J8" s="35">
        <f t="shared" si="1"/>
        <v>6.5979155187278922</v>
      </c>
      <c r="K8" s="35">
        <f t="shared" si="1"/>
        <v>5.7029059647723184</v>
      </c>
      <c r="L8" s="35">
        <f t="shared" si="1"/>
        <v>4.8864532724481933</v>
      </c>
      <c r="M8" s="35">
        <f t="shared" si="1"/>
        <v>4.1123493840141645</v>
      </c>
      <c r="N8" s="35">
        <f t="shared" si="1"/>
        <v>3.3578459378363901</v>
      </c>
      <c r="O8" s="35">
        <f t="shared" si="1"/>
        <v>2.6182995107127756</v>
      </c>
      <c r="P8" s="35">
        <f t="shared" si="1"/>
        <v>1.9081188991208538</v>
      </c>
      <c r="Q8" s="35">
        <f t="shared" si="1"/>
        <v>1.2578246833965643</v>
      </c>
      <c r="R8" s="35">
        <f t="shared" si="1"/>
        <v>0.70781014017135468</v>
      </c>
      <c r="S8" s="35">
        <f t="shared" si="2"/>
        <v>0.30005392153352339</v>
      </c>
      <c r="T8" s="35">
        <f t="shared" si="2"/>
        <v>6.9446894587916586E-2</v>
      </c>
      <c r="U8" s="35">
        <f t="shared" si="2"/>
        <v>3.6475895996879927E-2</v>
      </c>
      <c r="V8" s="35">
        <f t="shared" si="2"/>
        <v>0.20273972401477988</v>
      </c>
    </row>
    <row r="9" spans="1:22" x14ac:dyDescent="0.25">
      <c r="A9" s="36">
        <f t="shared" si="4"/>
        <v>0.85</v>
      </c>
      <c r="B9" s="35">
        <f t="shared" si="3"/>
        <v>18.81241872030445</v>
      </c>
      <c r="C9" s="35">
        <f t="shared" si="1"/>
        <v>16.690793338458871</v>
      </c>
      <c r="D9" s="35">
        <f t="shared" si="1"/>
        <v>14.632008321943596</v>
      </c>
      <c r="E9" s="35">
        <f t="shared" si="1"/>
        <v>12.686131140246765</v>
      </c>
      <c r="F9" s="35">
        <f t="shared" si="1"/>
        <v>10.897855941149986</v>
      </c>
      <c r="G9" s="35">
        <f t="shared" si="1"/>
        <v>9.2986338632467742</v>
      </c>
      <c r="H9" s="35">
        <f t="shared" si="1"/>
        <v>7.9015420915252985</v>
      </c>
      <c r="I9" s="35">
        <f t="shared" si="1"/>
        <v>6.6998562330114018</v>
      </c>
      <c r="J9" s="35">
        <f t="shared" si="1"/>
        <v>5.669550970497772</v>
      </c>
      <c r="K9" s="35">
        <f t="shared" si="1"/>
        <v>4.7751725318958709</v>
      </c>
      <c r="L9" s="35">
        <f t="shared" si="1"/>
        <v>3.9778588396675976</v>
      </c>
      <c r="M9" s="35">
        <f t="shared" si="1"/>
        <v>3.2438620314419788</v>
      </c>
      <c r="N9" s="35">
        <f t="shared" si="1"/>
        <v>2.5518369025909782</v>
      </c>
      <c r="O9" s="35">
        <f t="shared" si="1"/>
        <v>1.8974154129032192</v>
      </c>
      <c r="P9" s="35">
        <f t="shared" si="1"/>
        <v>1.2941400852835208</v>
      </c>
      <c r="Q9" s="35">
        <f t="shared" si="1"/>
        <v>0.77056724032950985</v>
      </c>
      <c r="R9" s="35">
        <f t="shared" si="1"/>
        <v>0.36412693061003476</v>
      </c>
      <c r="S9" s="35">
        <f t="shared" si="2"/>
        <v>0.11298500124341071</v>
      </c>
      <c r="T9" s="35">
        <f t="shared" si="2"/>
        <v>4.7562139865620946E-2</v>
      </c>
      <c r="U9" s="35">
        <f t="shared" si="2"/>
        <v>0.18344298090141983</v>
      </c>
      <c r="V9" s="35">
        <f t="shared" si="2"/>
        <v>0.51713922636830711</v>
      </c>
    </row>
    <row r="10" spans="1:22" x14ac:dyDescent="0.25">
      <c r="A10" s="36">
        <f t="shared" si="4"/>
        <v>1.075</v>
      </c>
      <c r="B10" s="35">
        <f t="shared" si="3"/>
        <v>17.916442969060384</v>
      </c>
      <c r="C10" s="35">
        <f t="shared" si="1"/>
        <v>15.819643080438354</v>
      </c>
      <c r="D10" s="35">
        <f t="shared" si="1"/>
        <v>13.768703620486491</v>
      </c>
      <c r="E10" s="35">
        <f t="shared" si="1"/>
        <v>11.81747633784752</v>
      </c>
      <c r="F10" s="35">
        <f t="shared" si="1"/>
        <v>10.015104876118116</v>
      </c>
      <c r="G10" s="35">
        <f t="shared" si="1"/>
        <v>8.3979307793371127</v>
      </c>
      <c r="H10" s="35">
        <f t="shared" si="1"/>
        <v>6.9841160134961617</v>
      </c>
      <c r="I10" s="35">
        <f t="shared" si="1"/>
        <v>5.7719590092916677</v>
      </c>
      <c r="J10" s="35">
        <f t="shared" si="1"/>
        <v>4.7421421063426203</v>
      </c>
      <c r="K10" s="35">
        <f t="shared" si="1"/>
        <v>3.8633667011547224</v>
      </c>
      <c r="L10" s="35">
        <f t="shared" si="1"/>
        <v>3.1001639270826322</v>
      </c>
      <c r="M10" s="35">
        <f t="shared" si="1"/>
        <v>2.4212461171257544</v>
      </c>
      <c r="N10" s="35">
        <f t="shared" si="1"/>
        <v>1.8066712236618565</v>
      </c>
      <c r="O10" s="35">
        <f t="shared" si="1"/>
        <v>1.2523465894702845</v>
      </c>
      <c r="P10" s="35">
        <f t="shared" si="1"/>
        <v>0.77094846388314009</v>
      </c>
      <c r="Q10" s="35">
        <f t="shared" si="1"/>
        <v>0.38906890775973901</v>
      </c>
      <c r="R10" s="35">
        <f t="shared" si="1"/>
        <v>0.14117474960632947</v>
      </c>
      <c r="S10" s="35">
        <f t="shared" si="2"/>
        <v>6.1619027571243754E-2</v>
      </c>
      <c r="T10" s="35">
        <f t="shared" si="2"/>
        <v>0.17635224982160222</v>
      </c>
      <c r="U10" s="35">
        <f t="shared" si="2"/>
        <v>0.49605684854456755</v>
      </c>
      <c r="V10" s="35">
        <f t="shared" si="2"/>
        <v>1.0121574295207731</v>
      </c>
    </row>
    <row r="11" spans="1:22" x14ac:dyDescent="0.25">
      <c r="A11" s="36">
        <f t="shared" si="4"/>
        <v>1.3</v>
      </c>
      <c r="B11" s="35">
        <f t="shared" si="3"/>
        <v>17.008330675646306</v>
      </c>
      <c r="C11" s="35">
        <f t="shared" si="1"/>
        <v>14.947148410636121</v>
      </c>
      <c r="D11" s="35">
        <f t="shared" si="1"/>
        <v>12.91484663763597</v>
      </c>
      <c r="E11" s="35">
        <f t="shared" si="1"/>
        <v>10.969061384443167</v>
      </c>
      <c r="F11" s="35">
        <f t="shared" si="1"/>
        <v>9.1633857904694374</v>
      </c>
      <c r="G11" s="35">
        <f t="shared" si="1"/>
        <v>7.5390518051989464</v>
      </c>
      <c r="H11" s="35">
        <f t="shared" si="1"/>
        <v>6.1193061756268268</v>
      </c>
      <c r="I11" s="35">
        <f t="shared" si="1"/>
        <v>4.9074701561200342</v>
      </c>
      <c r="J11" s="35">
        <f t="shared" si="1"/>
        <v>3.8889337431238777</v>
      </c>
      <c r="K11" s="35">
        <f t="shared" si="1"/>
        <v>3.0365535017382852</v>
      </c>
      <c r="L11" s="35">
        <f t="shared" si="1"/>
        <v>2.3182537762106827</v>
      </c>
      <c r="M11" s="35">
        <f t="shared" si="1"/>
        <v>1.7052070949108493</v>
      </c>
      <c r="N11" s="35">
        <f t="shared" si="1"/>
        <v>1.1788745672223573</v>
      </c>
      <c r="O11" s="35">
        <f t="shared" si="1"/>
        <v>0.73543891891527613</v>
      </c>
      <c r="P11" s="35">
        <f t="shared" si="1"/>
        <v>0.38671012574898916</v>
      </c>
      <c r="Q11" s="35">
        <f t="shared" si="1"/>
        <v>0.15731598884450146</v>
      </c>
      <c r="R11" s="35">
        <f t="shared" si="1"/>
        <v>7.8760112645461053E-2</v>
      </c>
      <c r="S11" s="35">
        <f t="shared" si="2"/>
        <v>0.18158272833021727</v>
      </c>
      <c r="T11" s="35">
        <f t="shared" si="2"/>
        <v>0.48726416459702754</v>
      </c>
      <c r="U11" s="35">
        <f t="shared" si="2"/>
        <v>1.0015846513954629</v>
      </c>
      <c r="V11" s="35">
        <f t="shared" si="2"/>
        <v>1.7108816982692905</v>
      </c>
    </row>
    <row r="12" spans="1:22" x14ac:dyDescent="0.25">
      <c r="A12" s="36">
        <f t="shared" si="4"/>
        <v>1.5250000000000001</v>
      </c>
      <c r="B12" s="35">
        <f t="shared" si="3"/>
        <v>16.192378484922585</v>
      </c>
      <c r="C12" s="35">
        <f t="shared" si="1"/>
        <v>14.172882135674392</v>
      </c>
      <c r="D12" s="35">
        <f t="shared" si="1"/>
        <v>12.165286341776104</v>
      </c>
      <c r="E12" s="35">
        <f t="shared" si="1"/>
        <v>10.231011410179606</v>
      </c>
      <c r="F12" s="35">
        <f t="shared" si="1"/>
        <v>8.4280999761116995</v>
      </c>
      <c r="G12" s="35">
        <f t="shared" si="1"/>
        <v>6.8026743945018637</v>
      </c>
      <c r="H12" s="35">
        <f t="shared" si="1"/>
        <v>5.3830661933487205</v>
      </c>
      <c r="I12" s="35">
        <f t="shared" si="1"/>
        <v>4.1776194506897761</v>
      </c>
      <c r="J12" s="35">
        <f t="shared" si="1"/>
        <v>3.1764318197966528</v>
      </c>
      <c r="K12" s="35">
        <f t="shared" si="1"/>
        <v>2.356515034363512</v>
      </c>
      <c r="L12" s="35">
        <f t="shared" si="1"/>
        <v>1.689186649530541</v>
      </c>
      <c r="M12" s="35">
        <f t="shared" si="1"/>
        <v>1.1480793890378975</v>
      </c>
      <c r="N12" s="35">
        <f t="shared" si="1"/>
        <v>0.71605751927495687</v>
      </c>
      <c r="O12" s="35">
        <f t="shared" si="1"/>
        <v>0.38957914900251134</v>
      </c>
      <c r="P12" s="35">
        <f t="shared" si="1"/>
        <v>0.17958798040722712</v>
      </c>
      <c r="Q12" s="35">
        <f t="shared" si="1"/>
        <v>0.10874755487179782</v>
      </c>
      <c r="R12" s="35">
        <f t="shared" si="1"/>
        <v>0.20559825277727162</v>
      </c>
      <c r="S12" s="35">
        <f t="shared" si="2"/>
        <v>0.49686749833201482</v>
      </c>
      <c r="T12" s="35">
        <f t="shared" si="2"/>
        <v>0.99956544076542198</v>
      </c>
      <c r="U12" s="35">
        <f t="shared" si="2"/>
        <v>1.7145701077894726</v>
      </c>
      <c r="V12" s="35">
        <f t="shared" si="2"/>
        <v>2.623131912711067</v>
      </c>
    </row>
    <row r="13" spans="1:22" x14ac:dyDescent="0.25">
      <c r="A13" s="36">
        <f t="shared" si="4"/>
        <v>1.7500000000000002</v>
      </c>
      <c r="B13" s="35">
        <f t="shared" si="3"/>
        <v>15.560656824468158</v>
      </c>
      <c r="C13" s="35">
        <f t="shared" si="1"/>
        <v>13.583884931449525</v>
      </c>
      <c r="D13" s="35">
        <f t="shared" si="1"/>
        <v>11.602033657120655</v>
      </c>
      <c r="E13" s="35">
        <f t="shared" si="1"/>
        <v>9.6803075875880324</v>
      </c>
      <c r="F13" s="35">
        <f t="shared" si="1"/>
        <v>7.8811988538935172</v>
      </c>
      <c r="G13" s="35">
        <f t="shared" si="1"/>
        <v>6.255720216411901</v>
      </c>
      <c r="H13" s="35">
        <f t="shared" si="1"/>
        <v>4.8372879841452994</v>
      </c>
      <c r="I13" s="35">
        <f t="shared" si="1"/>
        <v>3.6392690588017671</v>
      </c>
      <c r="J13" s="35">
        <f t="shared" si="1"/>
        <v>2.6564687504792408</v>
      </c>
      <c r="K13" s="35">
        <f t="shared" si="1"/>
        <v>1.8700539614661167</v>
      </c>
      <c r="L13" s="35">
        <f t="shared" si="1"/>
        <v>1.254735457795342</v>
      </c>
      <c r="M13" s="35">
        <f t="shared" si="1"/>
        <v>0.7866061585774522</v>
      </c>
      <c r="N13" s="35">
        <f t="shared" si="1"/>
        <v>0.44993348720762777</v>
      </c>
      <c r="O13" s="35">
        <f t="shared" si="1"/>
        <v>0.24145093543738255</v>
      </c>
      <c r="P13" s="35">
        <f t="shared" si="1"/>
        <v>0.17123593188066544</v>
      </c>
      <c r="Q13" s="35">
        <f t="shared" si="1"/>
        <v>0.25998775818185921</v>
      </c>
      <c r="R13" s="35">
        <f t="shared" si="1"/>
        <v>0.53328357065941157</v>
      </c>
      <c r="S13" s="35">
        <f t="shared" si="2"/>
        <v>1.0140379865517062</v>
      </c>
      <c r="T13" s="35">
        <f t="shared" si="2"/>
        <v>1.7147909756192745</v>
      </c>
      <c r="U13" s="35">
        <f t="shared" si="2"/>
        <v>2.6315183633365047</v>
      </c>
      <c r="V13" s="35">
        <f t="shared" si="2"/>
        <v>3.7403834667734328</v>
      </c>
    </row>
    <row r="14" spans="1:22" x14ac:dyDescent="0.25">
      <c r="A14" s="36">
        <f t="shared" si="4"/>
        <v>1.9750000000000003</v>
      </c>
      <c r="B14" s="35">
        <f t="shared" si="3"/>
        <v>15.186312054671927</v>
      </c>
      <c r="C14" s="35">
        <f t="shared" si="1"/>
        <v>13.248221051988173</v>
      </c>
      <c r="D14" s="35">
        <f t="shared" si="1"/>
        <v>11.288070731334052</v>
      </c>
      <c r="E14" s="35">
        <f t="shared" si="1"/>
        <v>9.3748499579706284</v>
      </c>
      <c r="F14" s="35">
        <f t="shared" si="1"/>
        <v>7.5755003587548195</v>
      </c>
      <c r="G14" s="35">
        <f t="shared" si="1"/>
        <v>5.9459250995067503</v>
      </c>
      <c r="H14" s="35">
        <f t="shared" si="1"/>
        <v>4.524625270232014</v>
      </c>
      <c r="I14" s="35">
        <f t="shared" si="1"/>
        <v>3.3299905963092185</v>
      </c>
      <c r="J14" s="35">
        <f t="shared" si="1"/>
        <v>2.3615340446626139</v>
      </c>
      <c r="K14" s="35">
        <f t="shared" si="1"/>
        <v>1.6045776861748302</v>
      </c>
      <c r="L14" s="35">
        <f t="shared" si="1"/>
        <v>1.0372254977715758</v>
      </c>
      <c r="M14" s="35">
        <f t="shared" si="1"/>
        <v>0.63803059393376482</v>
      </c>
      <c r="N14" s="35">
        <f t="shared" si="1"/>
        <v>0.39266355506238032</v>
      </c>
      <c r="O14" s="35">
        <f t="shared" si="1"/>
        <v>0.29813325589965961</v>
      </c>
      <c r="P14" s="35">
        <f t="shared" si="1"/>
        <v>0.36365085148683374</v>
      </c>
      <c r="Q14" s="35">
        <f t="shared" si="1"/>
        <v>0.60795136372997471</v>
      </c>
      <c r="R14" s="35">
        <f t="shared" si="1"/>
        <v>1.0536487248849298</v>
      </c>
      <c r="S14" s="35">
        <f t="shared" si="2"/>
        <v>1.7198447452201</v>
      </c>
      <c r="T14" s="35">
        <f t="shared" si="2"/>
        <v>2.614609215027154</v>
      </c>
      <c r="U14" s="35">
        <f t="shared" si="2"/>
        <v>3.7290157575428893</v>
      </c>
      <c r="V14" s="35">
        <f t="shared" si="2"/>
        <v>5.0341405936004708</v>
      </c>
    </row>
    <row r="15" spans="1:22" x14ac:dyDescent="0.25">
      <c r="A15" s="36">
        <f t="shared" si="4"/>
        <v>2.2000000000000002</v>
      </c>
      <c r="B15" s="35">
        <f t="shared" si="3"/>
        <v>15.120757607584707</v>
      </c>
      <c r="C15" s="35">
        <f t="shared" si="1"/>
        <v>13.212425666356918</v>
      </c>
      <c r="D15" s="35">
        <f t="shared" si="1"/>
        <v>11.265054470498633</v>
      </c>
      <c r="E15" s="35">
        <f t="shared" si="1"/>
        <v>9.3514171644254915</v>
      </c>
      <c r="F15" s="35">
        <f t="shared" si="1"/>
        <v>7.5429048708094832</v>
      </c>
      <c r="G15" s="35">
        <f t="shared" si="1"/>
        <v>5.9003111609160417</v>
      </c>
      <c r="H15" s="35">
        <f t="shared" si="1"/>
        <v>4.467221905754255</v>
      </c>
      <c r="I15" s="35">
        <f t="shared" si="1"/>
        <v>3.2670496543732823</v>
      </c>
      <c r="J15" s="35">
        <f t="shared" si="1"/>
        <v>2.3040150305236855</v>
      </c>
      <c r="K15" s="35">
        <f t="shared" si="1"/>
        <v>1.5675952736823273</v>
      </c>
      <c r="L15" s="35">
        <f t="shared" si="1"/>
        <v>1.0392875716676799</v>
      </c>
      <c r="M15" s="35">
        <f t="shared" si="1"/>
        <v>0.70010523433103189</v>
      </c>
      <c r="N15" s="35">
        <f t="shared" si="1"/>
        <v>0.53712199907917291</v>
      </c>
      <c r="O15" s="35">
        <f t="shared" si="1"/>
        <v>0.5476221236450618</v>
      </c>
      <c r="P15" s="35">
        <f t="shared" si="1"/>
        <v>0.73995048949721287</v>
      </c>
      <c r="Q15" s="35">
        <f t="shared" si="1"/>
        <v>1.1308778588033859</v>
      </c>
      <c r="R15" s="35">
        <f t="shared" si="1"/>
        <v>1.7400549397568295</v>
      </c>
      <c r="S15" s="35">
        <f t="shared" si="2"/>
        <v>2.5827707356559606</v>
      </c>
      <c r="T15" s="35">
        <f t="shared" si="2"/>
        <v>3.6626248573235856</v>
      </c>
      <c r="U15" s="35">
        <f t="shared" si="2"/>
        <v>4.9657887257589088</v>
      </c>
      <c r="V15" s="35">
        <f t="shared" si="2"/>
        <v>6.4582514655582317</v>
      </c>
    </row>
    <row r="16" spans="1:22" x14ac:dyDescent="0.25">
      <c r="A16" s="36">
        <f t="shared" si="4"/>
        <v>2.4250000000000003</v>
      </c>
      <c r="B16" s="35">
        <f t="shared" si="3"/>
        <v>15.394720784364946</v>
      </c>
      <c r="C16" s="35">
        <f t="shared" si="1"/>
        <v>13.502797578056917</v>
      </c>
      <c r="D16" s="35">
        <f t="shared" si="1"/>
        <v>11.554855180458251</v>
      </c>
      <c r="E16" s="35">
        <f t="shared" si="1"/>
        <v>9.627451015139183</v>
      </c>
      <c r="F16" s="35">
        <f t="shared" si="1"/>
        <v>7.7964257005867577</v>
      </c>
      <c r="G16" s="35">
        <f t="shared" si="1"/>
        <v>6.1274632135117342</v>
      </c>
      <c r="H16" s="35">
        <f t="shared" si="1"/>
        <v>4.6692342059266885</v>
      </c>
      <c r="I16" s="35">
        <f t="shared" si="1"/>
        <v>3.4501740505513263</v>
      </c>
      <c r="J16" s="35">
        <f t="shared" si="1"/>
        <v>2.4792110279625263</v>
      </c>
      <c r="K16" s="35">
        <f t="shared" si="1"/>
        <v>1.7499775462313831</v>
      </c>
      <c r="L16" s="35">
        <f t="shared" si="1"/>
        <v>1.2473640040691305</v>
      </c>
      <c r="M16" s="35">
        <f t="shared" si="1"/>
        <v>0.95484390669743557</v>
      </c>
      <c r="N16" s="35">
        <f t="shared" si="1"/>
        <v>0.86089414852889101</v>
      </c>
      <c r="O16" s="35">
        <f t="shared" si="1"/>
        <v>0.96307437028717879</v>
      </c>
      <c r="P16" s="35">
        <f t="shared" si="1"/>
        <v>1.2688631798680958</v>
      </c>
      <c r="Q16" s="35">
        <f t="shared" si="1"/>
        <v>1.7930670797010904</v>
      </c>
      <c r="R16" s="35">
        <f t="shared" si="1"/>
        <v>2.5523735539168118</v>
      </c>
      <c r="S16" s="35">
        <f t="shared" si="2"/>
        <v>3.558258798843692</v>
      </c>
      <c r="T16" s="35">
        <f t="shared" si="2"/>
        <v>4.8098522458356783</v>
      </c>
      <c r="U16" s="35">
        <f t="shared" si="2"/>
        <v>6.28842311365438</v>
      </c>
      <c r="V16" s="35">
        <f t="shared" si="2"/>
        <v>7.9548734306592328</v>
      </c>
    </row>
    <row r="17" spans="1:22" x14ac:dyDescent="0.25">
      <c r="A17" s="36">
        <f t="shared" si="4"/>
        <v>2.6500000000000004</v>
      </c>
      <c r="B17" s="35">
        <f t="shared" si="3"/>
        <v>16.022367966004254</v>
      </c>
      <c r="C17" s="35">
        <f t="shared" si="1"/>
        <v>14.129747684225002</v>
      </c>
      <c r="D17" s="35">
        <f t="shared" si="1"/>
        <v>12.164128274494985</v>
      </c>
      <c r="E17" s="35">
        <f t="shared" si="1"/>
        <v>10.205851439539012</v>
      </c>
      <c r="F17" s="35">
        <f t="shared" si="1"/>
        <v>8.3352072936592023</v>
      </c>
      <c r="G17" s="35">
        <f t="shared" si="1"/>
        <v>6.6227702190116231</v>
      </c>
      <c r="H17" s="35">
        <f t="shared" si="1"/>
        <v>5.1222956486123419</v>
      </c>
      <c r="I17" s="35">
        <f t="shared" si="1"/>
        <v>3.8672417788516169</v>
      </c>
      <c r="J17" s="35">
        <f t="shared" si="1"/>
        <v>2.8712445471326382</v>
      </c>
      <c r="K17" s="35">
        <f t="shared" si="1"/>
        <v>2.1320915301207353</v>
      </c>
      <c r="L17" s="35">
        <f t="shared" si="1"/>
        <v>1.6380663374199029</v>
      </c>
      <c r="M17" s="35">
        <f t="shared" si="1"/>
        <v>1.3751026696221864</v>
      </c>
      <c r="N17" s="35">
        <f t="shared" si="1"/>
        <v>1.3330805781459818</v>
      </c>
      <c r="O17" s="35">
        <f t="shared" si="1"/>
        <v>1.509835086705694</v>
      </c>
      <c r="P17" s="35">
        <f t="shared" si="1"/>
        <v>1.9119785296244016</v>
      </c>
      <c r="Q17" s="35">
        <f t="shared" si="1"/>
        <v>2.5523531495932437</v>
      </c>
      <c r="R17" s="35">
        <f t="shared" si="1"/>
        <v>3.4446832066802671</v>
      </c>
      <c r="S17" s="35">
        <f t="shared" si="2"/>
        <v>4.5966320902439248</v>
      </c>
      <c r="T17" s="35">
        <f t="shared" si="2"/>
        <v>6.0028590521692937</v>
      </c>
      <c r="U17" s="35">
        <f t="shared" si="2"/>
        <v>7.6397311089804019</v>
      </c>
      <c r="V17" s="35">
        <f t="shared" si="2"/>
        <v>9.4630631927998081</v>
      </c>
    </row>
    <row r="18" spans="1:22" x14ac:dyDescent="0.25">
      <c r="A18" s="36">
        <f t="shared" si="4"/>
        <v>2.8750000000000004</v>
      </c>
      <c r="B18" s="35">
        <f t="shared" si="3"/>
        <v>17.00717050624489</v>
      </c>
      <c r="C18" s="35">
        <f t="shared" si="1"/>
        <v>15.09385418919911</v>
      </c>
      <c r="D18" s="35">
        <f t="shared" si="1"/>
        <v>13.090558807542429</v>
      </c>
      <c r="E18" s="35">
        <f t="shared" si="1"/>
        <v>11.081410343154245</v>
      </c>
      <c r="F18" s="35">
        <f t="shared" si="1"/>
        <v>9.1511484061517336</v>
      </c>
      <c r="G18" s="35">
        <f t="shared" si="1"/>
        <v>7.3752377841362886</v>
      </c>
      <c r="H18" s="35">
        <f t="shared" si="1"/>
        <v>5.81251869112746</v>
      </c>
      <c r="I18" s="35">
        <f t="shared" si="1"/>
        <v>4.5014721471860613</v>
      </c>
      <c r="J18" s="35">
        <f t="shared" si="1"/>
        <v>3.4604417465415951</v>
      </c>
      <c r="K18" s="35">
        <f t="shared" si="1"/>
        <v>2.6913702344536214</v>
      </c>
      <c r="L18" s="35">
        <f t="shared" si="1"/>
        <v>2.1859344314188989</v>
      </c>
      <c r="M18" s="35">
        <f t="shared" si="1"/>
        <v>1.9325282333998497</v>
      </c>
      <c r="N18" s="35">
        <f t="shared" si="1"/>
        <v>1.9224348488206746</v>
      </c>
      <c r="O18" s="35">
        <f t="shared" si="1"/>
        <v>2.1537646843865002</v>
      </c>
      <c r="P18" s="35">
        <f t="shared" si="1"/>
        <v>2.63226380084769</v>
      </c>
      <c r="Q18" s="35">
        <f t="shared" si="1"/>
        <v>3.368810181157067</v>
      </c>
      <c r="R18" s="35">
        <f t="shared" ref="C18:R23" si="5">(COS(R$2+1)+$A18-0.5)^2+(R$2-COS($A18)-3)^2</f>
        <v>4.3741648613200832</v>
      </c>
      <c r="S18" s="35">
        <f t="shared" si="2"/>
        <v>5.6521784237252062</v>
      </c>
      <c r="T18" s="35">
        <f t="shared" si="2"/>
        <v>7.1930399407886494</v>
      </c>
      <c r="U18" s="35">
        <f t="shared" si="2"/>
        <v>8.9682142267968494</v>
      </c>
      <c r="V18" s="35">
        <f t="shared" si="2"/>
        <v>10.928429117635503</v>
      </c>
    </row>
    <row r="19" spans="1:22" x14ac:dyDescent="0.25">
      <c r="A19" s="36">
        <f t="shared" si="4"/>
        <v>3.1000000000000005</v>
      </c>
      <c r="B19" s="35">
        <f t="shared" si="3"/>
        <v>18.347905471362665</v>
      </c>
      <c r="C19" s="35">
        <f t="shared" si="5"/>
        <v>16.392009193129372</v>
      </c>
      <c r="D19" s="35">
        <f t="shared" si="5"/>
        <v>14.329153913625049</v>
      </c>
      <c r="E19" s="35">
        <f t="shared" si="5"/>
        <v>12.247249893883671</v>
      </c>
      <c r="F19" s="35">
        <f t="shared" si="5"/>
        <v>10.235486239837483</v>
      </c>
      <c r="G19" s="35">
        <f t="shared" si="5"/>
        <v>8.3742181445331916</v>
      </c>
      <c r="H19" s="35">
        <f t="shared" si="5"/>
        <v>6.7273706029938376</v>
      </c>
      <c r="I19" s="35">
        <f t="shared" si="5"/>
        <v>5.3384474589507853</v>
      </c>
      <c r="J19" s="35">
        <f t="shared" si="5"/>
        <v>4.2304999634598479</v>
      </c>
      <c r="K19" s="35">
        <f t="shared" si="5"/>
        <v>3.4096260303748243</v>
      </c>
      <c r="L19" s="35">
        <f t="shared" si="5"/>
        <v>2.8708956910852312</v>
      </c>
      <c r="M19" s="35">
        <f t="shared" si="5"/>
        <v>2.6051630369238694</v>
      </c>
      <c r="N19" s="35">
        <f t="shared" si="5"/>
        <v>2.6051144333207428</v>
      </c>
      <c r="O19" s="35">
        <f t="shared" si="5"/>
        <v>2.8691356699717021</v>
      </c>
      <c r="P19" s="35">
        <f t="shared" si="5"/>
        <v>3.4021065340543912</v>
      </c>
      <c r="Q19" s="35">
        <f t="shared" si="5"/>
        <v>4.2129407487833257</v>
      </c>
      <c r="R19" s="35">
        <f t="shared" si="5"/>
        <v>5.309436126101355</v>
      </c>
      <c r="S19" s="35">
        <f t="shared" ref="S19:V23" si="6">(COS(S$2+1)+$A19-0.5)^2+(S$2-COS($A19)-3)^2</f>
        <v>6.6916304414269607</v>
      </c>
      <c r="T19" s="35">
        <f t="shared" si="6"/>
        <v>8.3452425877074976</v>
      </c>
      <c r="U19" s="35">
        <f t="shared" si="6"/>
        <v>10.236835176991812</v>
      </c>
      <c r="V19" s="35">
        <f t="shared" si="6"/>
        <v>12.312048948928732</v>
      </c>
    </row>
    <row r="20" spans="1:22" x14ac:dyDescent="0.25">
      <c r="A20" s="36">
        <f t="shared" si="4"/>
        <v>3.3250000000000006</v>
      </c>
      <c r="B20" s="35">
        <f t="shared" si="3"/>
        <v>20.043259093794454</v>
      </c>
      <c r="C20" s="35">
        <f t="shared" si="5"/>
        <v>18.022117170114349</v>
      </c>
      <c r="D20" s="35">
        <f t="shared" si="5"/>
        <v>15.877036308503087</v>
      </c>
      <c r="E20" s="35">
        <f t="shared" si="5"/>
        <v>13.699711049149215</v>
      </c>
      <c r="F20" s="35">
        <f t="shared" si="5"/>
        <v>11.583779993800047</v>
      </c>
      <c r="G20" s="35">
        <f t="shared" si="5"/>
        <v>9.614488740947607</v>
      </c>
      <c r="H20" s="35">
        <f t="shared" si="5"/>
        <v>7.8608470666184278</v>
      </c>
      <c r="I20" s="35">
        <f t="shared" si="5"/>
        <v>6.3713816382144222</v>
      </c>
      <c r="J20" s="35">
        <f t="shared" si="5"/>
        <v>5.1738513636177164</v>
      </c>
      <c r="K20" s="35">
        <f t="shared" si="5"/>
        <v>4.2785093252763424</v>
      </c>
      <c r="L20" s="35">
        <f t="shared" si="5"/>
        <v>3.68381876547258</v>
      </c>
      <c r="M20" s="35">
        <f t="shared" si="5"/>
        <v>3.3830939709096066</v>
      </c>
      <c r="N20" s="35">
        <f t="shared" si="5"/>
        <v>3.3704244640232313</v>
      </c>
      <c r="O20" s="35">
        <f t="shared" si="5"/>
        <v>3.6444714175000237</v>
      </c>
      <c r="P20" s="35">
        <f t="shared" si="5"/>
        <v>4.209248344944915</v>
      </c>
      <c r="Q20" s="35">
        <f t="shared" si="5"/>
        <v>5.0717047098341048</v>
      </c>
      <c r="R20" s="35">
        <f t="shared" si="5"/>
        <v>6.2366751000478464</v>
      </c>
      <c r="S20" s="35">
        <f t="shared" si="6"/>
        <v>7.7003844840346378</v>
      </c>
      <c r="T20" s="35">
        <f t="shared" si="6"/>
        <v>9.4440815752729712</v>
      </c>
      <c r="U20" s="35">
        <f t="shared" si="6"/>
        <v>11.429426783574099</v>
      </c>
      <c r="V20" s="35">
        <f t="shared" si="6"/>
        <v>13.596973752349982</v>
      </c>
    </row>
    <row r="21" spans="1:22" x14ac:dyDescent="0.25">
      <c r="A21" s="36">
        <f t="shared" si="4"/>
        <v>3.5500000000000007</v>
      </c>
      <c r="B21" s="35">
        <f t="shared" si="3"/>
        <v>22.093896571922823</v>
      </c>
      <c r="C21" s="35">
        <f t="shared" si="5"/>
        <v>19.985204177819593</v>
      </c>
      <c r="D21" s="35">
        <f t="shared" si="5"/>
        <v>17.735592909125064</v>
      </c>
      <c r="E21" s="35">
        <f t="shared" si="5"/>
        <v>15.44054158518238</v>
      </c>
      <c r="F21" s="35">
        <f t="shared" si="5"/>
        <v>13.198138303553916</v>
      </c>
      <c r="G21" s="35">
        <f t="shared" si="5"/>
        <v>11.098519068177012</v>
      </c>
      <c r="H21" s="35">
        <f t="shared" si="5"/>
        <v>9.2157784360816883</v>
      </c>
      <c r="I21" s="35">
        <f t="shared" si="5"/>
        <v>7.6034658983404073</v>
      </c>
      <c r="J21" s="35">
        <f t="shared" si="5"/>
        <v>6.2940480196616146</v>
      </c>
      <c r="K21" s="35">
        <f t="shared" si="5"/>
        <v>5.3019330510875706</v>
      </c>
      <c r="L21" s="35">
        <f t="shared" si="5"/>
        <v>4.6289774457933186</v>
      </c>
      <c r="M21" s="35">
        <f t="shared" si="5"/>
        <v>4.2709556858524129</v>
      </c>
      <c r="N21" s="35">
        <f t="shared" si="5"/>
        <v>4.2233604507064664</v>
      </c>
      <c r="O21" s="35">
        <f t="shared" si="5"/>
        <v>4.4851282960327739</v>
      </c>
      <c r="P21" s="35">
        <f t="shared" si="5"/>
        <v>5.0594064618635448</v>
      </c>
      <c r="Q21" s="35">
        <f t="shared" si="5"/>
        <v>5.9511801519366729</v>
      </c>
      <c r="R21" s="35">
        <f t="shared" si="5"/>
        <v>7.1623207300698066</v>
      </c>
      <c r="S21" s="35">
        <f t="shared" si="6"/>
        <v>8.6852403577414652</v>
      </c>
      <c r="T21" s="35">
        <f t="shared" si="6"/>
        <v>10.496717568961273</v>
      </c>
      <c r="U21" s="35">
        <f t="shared" si="6"/>
        <v>12.553510571302894</v>
      </c>
      <c r="V21" s="35">
        <f t="shared" si="6"/>
        <v>14.791085911941419</v>
      </c>
    </row>
    <row r="22" spans="1:22" x14ac:dyDescent="0.25">
      <c r="A22" s="36">
        <f t="shared" si="4"/>
        <v>3.7750000000000008</v>
      </c>
      <c r="B22" s="35">
        <f t="shared" si="3"/>
        <v>24.50149495123333</v>
      </c>
      <c r="C22" s="35">
        <f t="shared" si="5"/>
        <v>22.284432547074033</v>
      </c>
      <c r="D22" s="35">
        <f t="shared" si="5"/>
        <v>19.909471331663298</v>
      </c>
      <c r="E22" s="35">
        <f t="shared" si="5"/>
        <v>17.47587440349886</v>
      </c>
      <c r="F22" s="35">
        <f t="shared" si="5"/>
        <v>15.086179355958151</v>
      </c>
      <c r="G22" s="35">
        <f t="shared" si="5"/>
        <v>12.835412598423838</v>
      </c>
      <c r="H22" s="35">
        <f t="shared" si="5"/>
        <v>10.802753468929424</v>
      </c>
      <c r="I22" s="35">
        <f t="shared" si="5"/>
        <v>9.04677428221793</v>
      </c>
      <c r="J22" s="35">
        <f t="shared" si="5"/>
        <v>7.6046492598241064</v>
      </c>
      <c r="K22" s="35">
        <f t="shared" si="5"/>
        <v>6.4949418213844492</v>
      </c>
      <c r="L22" s="35">
        <f t="shared" si="5"/>
        <v>5.7229016309667644</v>
      </c>
      <c r="M22" s="35">
        <f t="shared" si="5"/>
        <v>5.2867633660149842</v>
      </c>
      <c r="N22" s="35">
        <f t="shared" si="5"/>
        <v>5.183422862976526</v>
      </c>
      <c r="O22" s="35">
        <f t="shared" si="5"/>
        <v>5.4120920605194041</v>
      </c>
      <c r="P22" s="35">
        <f t="shared" si="5"/>
        <v>5.9750519251031147</v>
      </c>
      <c r="Q22" s="35">
        <f t="shared" si="5"/>
        <v>6.8753234007272344</v>
      </c>
      <c r="R22" s="35">
        <f t="shared" si="5"/>
        <v>8.1118146271468188</v>
      </c>
      <c r="S22" s="35">
        <f t="shared" si="6"/>
        <v>9.673124958870396</v>
      </c>
      <c r="T22" s="35">
        <f t="shared" si="6"/>
        <v>11.531562750438741</v>
      </c>
      <c r="U22" s="35">
        <f t="shared" si="6"/>
        <v>13.638984007187913</v>
      </c>
      <c r="V22" s="35">
        <f t="shared" si="6"/>
        <v>15.925768180056142</v>
      </c>
    </row>
    <row r="23" spans="1:22" x14ac:dyDescent="0.25">
      <c r="A23" s="36">
        <f t="shared" si="4"/>
        <v>4.0000000000000009</v>
      </c>
      <c r="B23" s="35">
        <f t="shared" si="3"/>
        <v>27.2649737232171</v>
      </c>
      <c r="C23" s="35">
        <f t="shared" si="5"/>
        <v>24.921256604885883</v>
      </c>
      <c r="D23" s="35">
        <f t="shared" si="5"/>
        <v>22.402660738643107</v>
      </c>
      <c r="E23" s="35">
        <f t="shared" si="5"/>
        <v>19.812233502141069</v>
      </c>
      <c r="F23" s="35">
        <f t="shared" si="5"/>
        <v>17.256961984572275</v>
      </c>
      <c r="G23" s="35">
        <f t="shared" si="5"/>
        <v>14.836763000764718</v>
      </c>
      <c r="H23" s="35">
        <f t="shared" si="5"/>
        <v>12.635900669755374</v>
      </c>
      <c r="I23" s="35">
        <f t="shared" si="5"/>
        <v>10.71797012995782</v>
      </c>
      <c r="J23" s="35">
        <f t="shared" si="5"/>
        <v>9.1248532597331238</v>
      </c>
      <c r="K23" s="35">
        <f t="shared" si="5"/>
        <v>7.8792686473120126</v>
      </c>
      <c r="L23" s="35">
        <f t="shared" si="5"/>
        <v>6.9898591676550534</v>
      </c>
      <c r="M23" s="35">
        <f t="shared" si="5"/>
        <v>6.4573196935765571</v>
      </c>
      <c r="N23" s="35">
        <f t="shared" si="5"/>
        <v>6.2799492185297421</v>
      </c>
      <c r="O23" s="35">
        <f t="shared" si="5"/>
        <v>6.4572350641733518</v>
      </c>
      <c r="P23" s="35">
        <f t="shared" si="5"/>
        <v>6.9905919233941569</v>
      </c>
      <c r="Q23" s="35">
        <f t="shared" si="5"/>
        <v>7.8810764804534319</v>
      </c>
      <c r="R23" s="35">
        <f t="shared" si="5"/>
        <v>9.1246336510436237</v>
      </c>
      <c r="S23" s="35">
        <f t="shared" si="6"/>
        <v>10.706049982703284</v>
      </c>
      <c r="T23" s="35">
        <f t="shared" si="6"/>
        <v>12.593163650504316</v>
      </c>
      <c r="U23" s="35">
        <f t="shared" si="6"/>
        <v>14.732928457545194</v>
      </c>
      <c r="V23" s="35">
        <f t="shared" si="6"/>
        <v>17.05063675852729</v>
      </c>
    </row>
    <row r="25" spans="1:22" x14ac:dyDescent="0.25">
      <c r="A25" s="25">
        <v>4</v>
      </c>
      <c r="B25">
        <v>-0.49</v>
      </c>
      <c r="C25">
        <f>(COS(A25+1)+B25-0.5)^2+(A25-COS(B25)-3)^2</f>
        <v>0.51275866440745144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Пилецкий</dc:creator>
  <cp:lastModifiedBy>DJony</cp:lastModifiedBy>
  <dcterms:created xsi:type="dcterms:W3CDTF">2015-06-05T18:19:34Z</dcterms:created>
  <dcterms:modified xsi:type="dcterms:W3CDTF">2023-01-17T21:26:24Z</dcterms:modified>
</cp:coreProperties>
</file>