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ИНФОРМАТИКА\"/>
    </mc:Choice>
  </mc:AlternateContent>
  <xr:revisionPtr revIDLastSave="0" documentId="13_ncr:1_{04328A6F-2F74-4D40-BD47-CB80F5759F76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исходная таблица" sheetId="7" r:id="rId1"/>
    <sheet name="Спутники" sheetId="1" r:id="rId2"/>
    <sheet name="Алфавит" sheetId="2" r:id="rId3"/>
    <sheet name="Масса" sheetId="3" r:id="rId4"/>
    <sheet name="2ex" sheetId="4" r:id="rId5"/>
    <sheet name="3_1" sheetId="5" r:id="rId6"/>
    <sheet name="3_2" sheetId="6" r:id="rId7"/>
    <sheet name="3_3" sheetId="11" r:id="rId8"/>
    <sheet name="4" sheetId="8" r:id="rId9"/>
  </sheets>
  <definedNames>
    <definedName name="_xlnm._FilterDatabase" localSheetId="4" hidden="1">'2ex'!$A$1:$F$10</definedName>
    <definedName name="_xlnm._FilterDatabase" localSheetId="5" hidden="1">'3_1'!$A$1:$F$10</definedName>
    <definedName name="_xlnm._FilterDatabase" localSheetId="6" hidden="1">'3_2'!$A$1:$F$10</definedName>
    <definedName name="_xlnm._FilterDatabase" localSheetId="7" hidden="1">'3_3'!$B$2:$H$11</definedName>
    <definedName name="_xlnm._FilterDatabase" localSheetId="8" hidden="1">'4'!$A$1:$F$10</definedName>
    <definedName name="_xlnm._FilterDatabase" localSheetId="0" hidden="1">'исходная таблица'!$K$2:$Q$11</definedName>
    <definedName name="_xlnm._FilterDatabase" localSheetId="1" hidden="1">Спутники!$I$83:$N$92</definedName>
    <definedName name="_xlnm.Extract" localSheetId="8">'4'!$A$31:$F$37</definedName>
    <definedName name="_xlnm.Extract" localSheetId="0">'исходная таблица'!$K$13:$Q$20</definedName>
    <definedName name="_xlnm.Criteria" localSheetId="8">'4'!$B$27:$C$29</definedName>
    <definedName name="_xlnm.Criteria" localSheetId="0">'исходная таблица'!$E$14:$H$16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3" i="1" l="1"/>
  <c r="AE14" i="1"/>
  <c r="AE15" i="1"/>
  <c r="AE16" i="1"/>
  <c r="AE17" i="1"/>
  <c r="AE18" i="1"/>
  <c r="AE19" i="1"/>
  <c r="AE20" i="1"/>
  <c r="AE12" i="1"/>
  <c r="AB12" i="1"/>
  <c r="AF13" i="1"/>
  <c r="AF14" i="1"/>
  <c r="AF15" i="1"/>
  <c r="AF16" i="1"/>
  <c r="AF17" i="1"/>
  <c r="AF18" i="1"/>
  <c r="AF19" i="1"/>
  <c r="AF20" i="1"/>
  <c r="AF12" i="1"/>
  <c r="AD13" i="1"/>
  <c r="AD14" i="1"/>
  <c r="AD15" i="1"/>
  <c r="AD16" i="1"/>
  <c r="AD17" i="1"/>
  <c r="AD18" i="1"/>
  <c r="AD19" i="1"/>
  <c r="AD20" i="1"/>
  <c r="AD12" i="1"/>
  <c r="AC13" i="1"/>
  <c r="AC14" i="1"/>
  <c r="AC15" i="1"/>
  <c r="AC16" i="1"/>
  <c r="AC17" i="1"/>
  <c r="AC18" i="1"/>
  <c r="AC19" i="1"/>
  <c r="AC20" i="1"/>
  <c r="AC12" i="1"/>
  <c r="AB2" i="1"/>
</calcChain>
</file>

<file path=xl/sharedStrings.xml><?xml version="1.0" encoding="utf-8"?>
<sst xmlns="http://schemas.openxmlformats.org/spreadsheetml/2006/main" count="241" uniqueCount="32">
  <si>
    <t>Планета</t>
  </si>
  <si>
    <t>Период обращения, земной год</t>
  </si>
  <si>
    <t>Растояние  от Солнца, млн. км</t>
  </si>
  <si>
    <t>Диаметр,тыс. км</t>
  </si>
  <si>
    <t>Масса,Тт</t>
  </si>
  <si>
    <t>Колличество спутников</t>
  </si>
  <si>
    <t>Меркурий</t>
  </si>
  <si>
    <t>Венера</t>
  </si>
  <si>
    <t>Земля</t>
  </si>
  <si>
    <t>Марс</t>
  </si>
  <si>
    <t>Юпитер</t>
  </si>
  <si>
    <t>Сатурн</t>
  </si>
  <si>
    <t>Уран</t>
  </si>
  <si>
    <t>Нептун</t>
  </si>
  <si>
    <t>Плутон</t>
  </si>
  <si>
    <t>&gt;=10</t>
  </si>
  <si>
    <t>&gt;100</t>
  </si>
  <si>
    <t>&lt;0,5</t>
  </si>
  <si>
    <t>&gt;=14</t>
  </si>
  <si>
    <t>Рабочая таблица</t>
  </si>
  <si>
    <t>Диаметр, тыс. км</t>
  </si>
  <si>
    <t>Количество спутников</t>
  </si>
  <si>
    <t>Расстояние от Солнца</t>
  </si>
  <si>
    <t>Диаметр</t>
  </si>
  <si>
    <t>Масса</t>
  </si>
  <si>
    <t>Поиск планет с периодом обращения от 10 до 100 земных лет и количеством спутников не более 15;</t>
  </si>
  <si>
    <t>&lt;=100</t>
  </si>
  <si>
    <t>&lt;15</t>
  </si>
  <si>
    <t>Поиск планет, у которых либо диаметр не менее 4-х земных, либо масса более 100 земных масс;</t>
  </si>
  <si>
    <t>&gt;= 4</t>
  </si>
  <si>
    <t>Поиск среди планет без спутников той, которая находится от Солнца на расстоянии менее половины земного, а среди планет с не менее чем 14-ю спутниками той, которая находится от Солнца не ближе, чем 10 земных расстояний.</t>
  </si>
  <si>
    <t>Период обращения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</si>
</sst>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7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/>
    <xf numFmtId="11" fontId="0" fillId="0" borderId="1" xfId="0" applyNumberFormat="1" applyBorder="1"/>
    <xf numFmtId="2" fontId="0" fillId="0" borderId="1" xfId="0" applyNumberFormat="1" applyBorder="1"/>
    <xf numFmtId="0" fontId="1" fillId="0" borderId="1" xfId="0" applyFont="1" applyBorder="1"/>
    <xf numFmtId="0" fontId="1" fillId="0" borderId="2" xfId="0" applyFont="1" applyBorder="1"/>
    <xf numFmtId="2" fontId="1" fillId="0" borderId="2" xfId="0" applyNumberFormat="1" applyFont="1" applyBorder="1"/>
    <xf numFmtId="0" fontId="1" fillId="0" borderId="3" xfId="0" applyFont="1" applyBorder="1"/>
    <xf numFmtId="0" fontId="1" fillId="0" borderId="4" xfId="0" applyFont="1" applyBorder="1"/>
    <xf numFmtId="2" fontId="1" fillId="0" borderId="4" xfId="0" applyNumberFormat="1" applyFont="1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/>
    <xf numFmtId="2" fontId="1" fillId="0" borderId="0" xfId="0" applyNumberFormat="1" applyFo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/>
    <xf numFmtId="2" fontId="1" fillId="0" borderId="0" xfId="0" applyNumberFormat="1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1" fontId="5" fillId="0" borderId="1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1" fontId="4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1" defaultTableStyle="TableStyleMedium2" defaultPivotStyle="PivotStyleLight16">
    <tableStyle name="Стиль таблицы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217715</xdr:colOff>
      <xdr:row>43</xdr:row>
      <xdr:rowOff>176893</xdr:rowOff>
    </xdr:from>
    <xdr:to>
      <xdr:col>34</xdr:col>
      <xdr:colOff>156516</xdr:colOff>
      <xdr:row>62</xdr:row>
      <xdr:rowOff>5879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C9D84BA-C0E0-23B3-8910-AEB96860E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4358" y="9184822"/>
          <a:ext cx="4685714" cy="3438095"/>
        </a:xfrm>
        <a:prstGeom prst="rect">
          <a:avLst/>
        </a:prstGeom>
      </xdr:spPr>
    </xdr:pic>
    <xdr:clientData/>
  </xdr:twoCellAnchor>
  <xdr:twoCellAnchor editAs="oneCell">
    <xdr:from>
      <xdr:col>26</xdr:col>
      <xdr:colOff>530678</xdr:colOff>
      <xdr:row>63</xdr:row>
      <xdr:rowOff>27215</xdr:rowOff>
    </xdr:from>
    <xdr:to>
      <xdr:col>34</xdr:col>
      <xdr:colOff>260330</xdr:colOff>
      <xdr:row>79</xdr:row>
      <xdr:rowOff>64928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8E26CD8-4E42-62FA-7DA1-F1D940BAE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27321" y="12845144"/>
          <a:ext cx="4447619" cy="308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30480</xdr:colOff>
      <xdr:row>0</xdr:row>
      <xdr:rowOff>0</xdr:rowOff>
    </xdr:from>
    <xdr:to>
      <xdr:col>19</xdr:col>
      <xdr:colOff>175800</xdr:colOff>
      <xdr:row>11</xdr:row>
      <xdr:rowOff>91440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A0B16B0-217E-4817-BBB4-F278FC51C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18320" y="0"/>
          <a:ext cx="3802920" cy="2743200"/>
        </a:xfrm>
        <a:prstGeom prst="rect">
          <a:avLst/>
        </a:prstGeom>
      </xdr:spPr>
    </xdr:pic>
    <xdr:clientData/>
  </xdr:twoCellAnchor>
  <xdr:twoCellAnchor editAs="oneCell">
    <xdr:from>
      <xdr:col>6</xdr:col>
      <xdr:colOff>350519</xdr:colOff>
      <xdr:row>0</xdr:row>
      <xdr:rowOff>0</xdr:rowOff>
    </xdr:from>
    <xdr:to>
      <xdr:col>12</xdr:col>
      <xdr:colOff>516966</xdr:colOff>
      <xdr:row>11</xdr:row>
      <xdr:rowOff>106680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BBF9BB7-A707-4EAB-9A64-E430E5EED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71159" y="0"/>
          <a:ext cx="3824047" cy="2758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EDCAE-AB80-447D-A91D-874936D01269}">
  <dimension ref="D1:V38"/>
  <sheetViews>
    <sheetView zoomScaleNormal="100" workbookViewId="0">
      <selection activeCell="R16" sqref="R16"/>
    </sheetView>
  </sheetViews>
  <sheetFormatPr defaultRowHeight="14.4" x14ac:dyDescent="0.3"/>
  <cols>
    <col min="1" max="6" width="11.109375" customWidth="1"/>
    <col min="7" max="7" width="11.88671875" customWidth="1"/>
    <col min="8" max="8" width="19.21875" customWidth="1"/>
    <col min="9" max="9" width="14.6640625" customWidth="1"/>
    <col min="11" max="11" width="12.6640625" customWidth="1"/>
    <col min="12" max="12" width="11.21875" customWidth="1"/>
  </cols>
  <sheetData>
    <row r="1" spans="4:22" ht="18" x14ac:dyDescent="0.35">
      <c r="M1" s="34" t="s">
        <v>19</v>
      </c>
      <c r="N1" s="34"/>
      <c r="S1" s="21"/>
      <c r="T1" s="21"/>
      <c r="U1" s="20"/>
      <c r="V1" s="21"/>
    </row>
    <row r="2" spans="4:22" ht="62.4" x14ac:dyDescent="0.3">
      <c r="D2" s="28" t="s">
        <v>0</v>
      </c>
      <c r="E2" s="28" t="s">
        <v>31</v>
      </c>
      <c r="F2" s="28" t="s">
        <v>22</v>
      </c>
      <c r="G2" s="28" t="s">
        <v>23</v>
      </c>
      <c r="H2" s="28" t="s">
        <v>24</v>
      </c>
      <c r="I2" s="28" t="s">
        <v>21</v>
      </c>
      <c r="K2" s="28" t="s">
        <v>0</v>
      </c>
      <c r="L2" s="28" t="s">
        <v>31</v>
      </c>
      <c r="M2" s="28" t="s">
        <v>22</v>
      </c>
      <c r="N2" s="28" t="s">
        <v>23</v>
      </c>
      <c r="O2" s="28" t="s">
        <v>24</v>
      </c>
      <c r="P2" s="28" t="s">
        <v>21</v>
      </c>
      <c r="Q2" s="25" t="s">
        <v>21</v>
      </c>
      <c r="S2" s="22"/>
      <c r="T2" s="22"/>
      <c r="U2" s="23"/>
      <c r="V2" s="22"/>
    </row>
    <row r="3" spans="4:22" ht="15.6" x14ac:dyDescent="0.3">
      <c r="D3" s="29" t="s">
        <v>6</v>
      </c>
      <c r="E3" s="32">
        <v>0.24</v>
      </c>
      <c r="F3" s="32">
        <v>58</v>
      </c>
      <c r="G3" s="32">
        <v>4.9000000000000004</v>
      </c>
      <c r="H3" s="33">
        <v>320000000</v>
      </c>
      <c r="I3" s="32">
        <v>0</v>
      </c>
      <c r="K3" s="29" t="s">
        <v>6</v>
      </c>
      <c r="L3" s="30">
        <v>0.24</v>
      </c>
      <c r="M3" s="30">
        <v>0.38666666666666666</v>
      </c>
      <c r="N3" s="30">
        <v>0.3828125</v>
      </c>
      <c r="O3" s="30">
        <v>5.3333333333333337E-2</v>
      </c>
      <c r="P3" s="31">
        <v>0</v>
      </c>
      <c r="Q3" s="36">
        <v>0</v>
      </c>
      <c r="S3" s="22"/>
      <c r="T3" s="22"/>
      <c r="U3" s="23"/>
      <c r="V3" s="22"/>
    </row>
    <row r="4" spans="4:22" ht="15.6" x14ac:dyDescent="0.3">
      <c r="D4" s="29" t="s">
        <v>7</v>
      </c>
      <c r="E4" s="32">
        <v>0.62</v>
      </c>
      <c r="F4" s="32">
        <v>108</v>
      </c>
      <c r="G4" s="32">
        <v>12.1</v>
      </c>
      <c r="H4" s="33">
        <v>4860000000</v>
      </c>
      <c r="I4" s="32">
        <v>0</v>
      </c>
      <c r="K4" s="29" t="s">
        <v>7</v>
      </c>
      <c r="L4" s="30">
        <v>0.62</v>
      </c>
      <c r="M4" s="30">
        <v>0.72</v>
      </c>
      <c r="N4" s="30">
        <v>0.94531249999999989</v>
      </c>
      <c r="O4" s="30">
        <v>0.81</v>
      </c>
      <c r="P4" s="31">
        <v>0</v>
      </c>
      <c r="Q4" s="36">
        <v>0</v>
      </c>
      <c r="S4" s="22"/>
      <c r="T4" s="22"/>
      <c r="U4" s="23"/>
      <c r="V4" s="22"/>
    </row>
    <row r="5" spans="4:22" ht="15.6" x14ac:dyDescent="0.3">
      <c r="D5" s="29" t="s">
        <v>8</v>
      </c>
      <c r="E5" s="32">
        <v>1</v>
      </c>
      <c r="F5" s="32">
        <v>150</v>
      </c>
      <c r="G5" s="32">
        <v>12.8</v>
      </c>
      <c r="H5" s="33">
        <v>6000000000</v>
      </c>
      <c r="I5" s="32">
        <v>1</v>
      </c>
      <c r="K5" s="29" t="s">
        <v>8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6">
        <v>1</v>
      </c>
      <c r="S5" s="22"/>
      <c r="T5" s="22"/>
      <c r="U5" s="23"/>
      <c r="V5" s="22"/>
    </row>
    <row r="6" spans="4:22" ht="15.6" x14ac:dyDescent="0.3">
      <c r="D6" s="29" t="s">
        <v>9</v>
      </c>
      <c r="E6" s="32">
        <v>1.88</v>
      </c>
      <c r="F6" s="32">
        <v>288</v>
      </c>
      <c r="G6" s="32">
        <v>6.8</v>
      </c>
      <c r="H6" s="33">
        <v>610000000</v>
      </c>
      <c r="I6" s="32">
        <v>2</v>
      </c>
      <c r="K6" s="29" t="s">
        <v>9</v>
      </c>
      <c r="L6" s="30">
        <v>1.88</v>
      </c>
      <c r="M6" s="30">
        <v>1.92</v>
      </c>
      <c r="N6" s="30">
        <v>0.53125</v>
      </c>
      <c r="O6" s="30">
        <v>0.10166666666666667</v>
      </c>
      <c r="P6" s="31">
        <v>2</v>
      </c>
      <c r="Q6" s="36">
        <v>2</v>
      </c>
      <c r="S6" s="22"/>
      <c r="T6" s="22"/>
      <c r="U6" s="23"/>
      <c r="V6" s="22"/>
    </row>
    <row r="7" spans="4:22" ht="15.6" x14ac:dyDescent="0.3">
      <c r="D7" s="29" t="s">
        <v>10</v>
      </c>
      <c r="E7" s="32">
        <v>11.86</v>
      </c>
      <c r="F7" s="32">
        <v>778</v>
      </c>
      <c r="G7" s="32">
        <v>142.6</v>
      </c>
      <c r="H7" s="33">
        <v>1907000000000</v>
      </c>
      <c r="I7" s="32">
        <v>16</v>
      </c>
      <c r="K7" s="29" t="s">
        <v>10</v>
      </c>
      <c r="L7" s="30">
        <v>11.86</v>
      </c>
      <c r="M7" s="30">
        <v>5.1866666666666665</v>
      </c>
      <c r="N7" s="30">
        <v>11.140624999999998</v>
      </c>
      <c r="O7" s="30">
        <v>317.83333333333331</v>
      </c>
      <c r="P7" s="31">
        <v>16</v>
      </c>
      <c r="Q7" s="36">
        <v>16</v>
      </c>
      <c r="S7" s="22"/>
      <c r="T7" s="22"/>
      <c r="U7" s="23"/>
      <c r="V7" s="22"/>
    </row>
    <row r="8" spans="4:22" ht="15.6" x14ac:dyDescent="0.3">
      <c r="D8" s="29" t="s">
        <v>11</v>
      </c>
      <c r="E8" s="32">
        <v>29.46</v>
      </c>
      <c r="F8" s="32">
        <v>1426</v>
      </c>
      <c r="G8" s="32">
        <v>120.2</v>
      </c>
      <c r="H8" s="33">
        <v>570900000000</v>
      </c>
      <c r="I8" s="32">
        <v>17</v>
      </c>
      <c r="K8" s="29" t="s">
        <v>11</v>
      </c>
      <c r="L8" s="30">
        <v>29.46</v>
      </c>
      <c r="M8" s="30">
        <v>9.5066666666666659</v>
      </c>
      <c r="N8" s="30">
        <v>9.390625</v>
      </c>
      <c r="O8" s="30">
        <v>95.15</v>
      </c>
      <c r="P8" s="31">
        <v>17</v>
      </c>
      <c r="Q8" s="36">
        <v>17</v>
      </c>
      <c r="S8" s="22"/>
      <c r="T8" s="22"/>
      <c r="U8" s="23"/>
      <c r="V8" s="22"/>
    </row>
    <row r="9" spans="4:22" ht="15.6" x14ac:dyDescent="0.3">
      <c r="D9" s="29" t="s">
        <v>12</v>
      </c>
      <c r="E9" s="32">
        <v>84.01</v>
      </c>
      <c r="F9" s="32">
        <v>2869</v>
      </c>
      <c r="G9" s="32">
        <v>49</v>
      </c>
      <c r="H9" s="33">
        <v>87240000000</v>
      </c>
      <c r="I9" s="32">
        <v>14</v>
      </c>
      <c r="K9" s="29" t="s">
        <v>12</v>
      </c>
      <c r="L9" s="30">
        <v>84.01</v>
      </c>
      <c r="M9" s="30">
        <v>19.126666666666665</v>
      </c>
      <c r="N9" s="30">
        <v>3.828125</v>
      </c>
      <c r="O9" s="30">
        <v>14.54</v>
      </c>
      <c r="P9" s="31">
        <v>14</v>
      </c>
      <c r="Q9" s="36">
        <v>14</v>
      </c>
      <c r="S9" s="22"/>
      <c r="T9" s="22"/>
      <c r="U9" s="23"/>
      <c r="V9" s="22"/>
    </row>
    <row r="10" spans="4:22" ht="15.6" x14ac:dyDescent="0.3">
      <c r="D10" s="29" t="s">
        <v>13</v>
      </c>
      <c r="E10" s="32">
        <v>164.8</v>
      </c>
      <c r="F10" s="32">
        <v>4496</v>
      </c>
      <c r="G10" s="32">
        <v>50.2</v>
      </c>
      <c r="H10" s="33">
        <v>103400000000</v>
      </c>
      <c r="I10" s="32">
        <v>2</v>
      </c>
      <c r="K10" s="29" t="s">
        <v>13</v>
      </c>
      <c r="L10" s="30">
        <v>164.8</v>
      </c>
      <c r="M10" s="30">
        <v>29.973333333333333</v>
      </c>
      <c r="N10" s="30">
        <v>3.921875</v>
      </c>
      <c r="O10" s="30">
        <v>17.233333333333334</v>
      </c>
      <c r="P10" s="31">
        <v>2</v>
      </c>
      <c r="Q10" s="36">
        <v>2</v>
      </c>
      <c r="S10" s="22"/>
      <c r="T10" s="22"/>
      <c r="U10" s="23"/>
      <c r="V10" s="22"/>
    </row>
    <row r="11" spans="4:22" ht="15.6" x14ac:dyDescent="0.3">
      <c r="D11" s="29" t="s">
        <v>14</v>
      </c>
      <c r="E11" s="32">
        <v>247.7</v>
      </c>
      <c r="F11" s="32">
        <v>5900</v>
      </c>
      <c r="G11" s="32">
        <v>2.8</v>
      </c>
      <c r="H11" s="33">
        <v>100000000</v>
      </c>
      <c r="I11" s="32">
        <v>1</v>
      </c>
      <c r="K11" s="29" t="s">
        <v>14</v>
      </c>
      <c r="L11" s="30">
        <v>247.7</v>
      </c>
      <c r="M11" s="30">
        <v>39.333333333333336</v>
      </c>
      <c r="N11" s="30">
        <v>0.21874999999999997</v>
      </c>
      <c r="O11" s="30">
        <v>1.6666666666666666E-2</v>
      </c>
      <c r="P11" s="31">
        <v>1</v>
      </c>
      <c r="Q11" s="36">
        <v>1</v>
      </c>
    </row>
    <row r="27" ht="60" customHeight="1" x14ac:dyDescent="0.3"/>
    <row r="38" ht="84" customHeight="1" x14ac:dyDescent="0.3"/>
  </sheetData>
  <mergeCells count="1">
    <mergeCell ref="M1:N1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8"/>
  <sheetViews>
    <sheetView zoomScale="115" zoomScaleNormal="115" workbookViewId="0">
      <selection activeCell="K9" sqref="K9"/>
    </sheetView>
  </sheetViews>
  <sheetFormatPr defaultRowHeight="14.4" x14ac:dyDescent="0.3"/>
  <cols>
    <col min="1" max="1" width="10" customWidth="1"/>
    <col min="2" max="2" width="14.44140625" customWidth="1"/>
    <col min="3" max="3" width="13.44140625" bestFit="1" customWidth="1"/>
    <col min="4" max="4" width="9" customWidth="1"/>
    <col min="6" max="6" width="12.44140625" customWidth="1"/>
    <col min="9" max="9" width="9.88671875" customWidth="1"/>
    <col min="10" max="10" width="13.33203125" customWidth="1"/>
    <col min="11" max="11" width="13.109375" customWidth="1"/>
    <col min="12" max="12" width="9.33203125" customWidth="1"/>
    <col min="13" max="13" width="16" bestFit="1" customWidth="1"/>
    <col min="14" max="14" width="12.44140625" customWidth="1"/>
    <col min="19" max="24" width="12.109375" customWidth="1"/>
  </cols>
  <sheetData>
    <row r="1" spans="1:32" ht="49.5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2" t="s">
        <v>24</v>
      </c>
      <c r="F1" s="3" t="s">
        <v>5</v>
      </c>
      <c r="AA1" s="2" t="s">
        <v>0</v>
      </c>
      <c r="AB1" s="3" t="s">
        <v>1</v>
      </c>
      <c r="AC1" s="3" t="s">
        <v>2</v>
      </c>
      <c r="AD1" s="3" t="s">
        <v>3</v>
      </c>
      <c r="AE1" s="2" t="s">
        <v>4</v>
      </c>
      <c r="AF1" s="3" t="s">
        <v>5</v>
      </c>
    </row>
    <row r="2" spans="1:32" x14ac:dyDescent="0.3">
      <c r="A2" s="7" t="s">
        <v>11</v>
      </c>
      <c r="B2" s="8">
        <v>29.46</v>
      </c>
      <c r="C2" s="8">
        <v>9.5066666669999993</v>
      </c>
      <c r="D2" s="8">
        <v>9.390625</v>
      </c>
      <c r="E2" s="9">
        <v>95.15</v>
      </c>
      <c r="F2" s="8">
        <v>17</v>
      </c>
      <c r="AA2" s="1" t="s">
        <v>6</v>
      </c>
      <c r="AB2" s="1">
        <f>0.241/AB4</f>
        <v>0.24099999999999999</v>
      </c>
      <c r="AC2" s="1">
        <v>58</v>
      </c>
      <c r="AD2" s="1">
        <v>4.9000000000000004</v>
      </c>
      <c r="AE2" s="5">
        <v>320000000</v>
      </c>
      <c r="AF2" s="1">
        <v>0</v>
      </c>
    </row>
    <row r="3" spans="1:32" x14ac:dyDescent="0.3">
      <c r="A3" s="10" t="s">
        <v>10</v>
      </c>
      <c r="B3" s="11">
        <v>11.86</v>
      </c>
      <c r="C3" s="11">
        <v>5.1866666669999999</v>
      </c>
      <c r="D3" s="11">
        <v>11.14063</v>
      </c>
      <c r="E3" s="12">
        <v>317.83</v>
      </c>
      <c r="F3" s="11">
        <v>16</v>
      </c>
      <c r="AA3" s="1" t="s">
        <v>7</v>
      </c>
      <c r="AB3" s="1">
        <v>0.61499999999999999</v>
      </c>
      <c r="AC3" s="1">
        <v>108</v>
      </c>
      <c r="AD3" s="1">
        <v>12.1</v>
      </c>
      <c r="AE3" s="5">
        <v>4860000000</v>
      </c>
      <c r="AF3" s="1">
        <v>0</v>
      </c>
    </row>
    <row r="4" spans="1:32" x14ac:dyDescent="0.3">
      <c r="A4" s="10" t="s">
        <v>12</v>
      </c>
      <c r="B4" s="11">
        <v>84.01</v>
      </c>
      <c r="C4" s="11">
        <v>19.126666669999999</v>
      </c>
      <c r="D4" s="11">
        <v>3.828125</v>
      </c>
      <c r="E4" s="12">
        <v>14.54</v>
      </c>
      <c r="F4" s="11">
        <v>14</v>
      </c>
      <c r="AA4" s="1" t="s">
        <v>8</v>
      </c>
      <c r="AB4" s="1">
        <v>1</v>
      </c>
      <c r="AC4" s="1">
        <v>150</v>
      </c>
      <c r="AD4" s="4">
        <v>12.8</v>
      </c>
      <c r="AE4" s="5">
        <v>6000000000</v>
      </c>
      <c r="AF4" s="1">
        <v>1</v>
      </c>
    </row>
    <row r="5" spans="1:32" x14ac:dyDescent="0.3">
      <c r="A5" s="10" t="s">
        <v>9</v>
      </c>
      <c r="B5" s="11">
        <v>1.881</v>
      </c>
      <c r="C5" s="11">
        <v>1.52</v>
      </c>
      <c r="D5" s="11">
        <v>0.53125</v>
      </c>
      <c r="E5" s="12">
        <v>0.1</v>
      </c>
      <c r="F5" s="11">
        <v>2</v>
      </c>
      <c r="AA5" s="1" t="s">
        <v>9</v>
      </c>
      <c r="AB5" s="1">
        <v>1.881</v>
      </c>
      <c r="AC5" s="1">
        <v>228</v>
      </c>
      <c r="AD5" s="1">
        <v>6.8</v>
      </c>
      <c r="AE5" s="5">
        <v>610000000</v>
      </c>
      <c r="AF5" s="1">
        <v>2</v>
      </c>
    </row>
    <row r="6" spans="1:32" x14ac:dyDescent="0.3">
      <c r="A6" s="10" t="s">
        <v>13</v>
      </c>
      <c r="B6" s="11">
        <v>164.8</v>
      </c>
      <c r="C6" s="11">
        <v>29.973333329999999</v>
      </c>
      <c r="D6" s="11">
        <v>3.921875</v>
      </c>
      <c r="E6" s="12">
        <v>17.23</v>
      </c>
      <c r="F6" s="11">
        <v>2</v>
      </c>
      <c r="AA6" s="1" t="s">
        <v>10</v>
      </c>
      <c r="AB6" s="1">
        <v>11.86</v>
      </c>
      <c r="AC6" s="1">
        <v>778</v>
      </c>
      <c r="AD6" s="1">
        <v>142.6</v>
      </c>
      <c r="AE6" s="5">
        <v>1907000000000</v>
      </c>
      <c r="AF6" s="1">
        <v>16</v>
      </c>
    </row>
    <row r="7" spans="1:32" x14ac:dyDescent="0.3">
      <c r="A7" s="10" t="s">
        <v>8</v>
      </c>
      <c r="B7" s="11">
        <v>1</v>
      </c>
      <c r="C7" s="11">
        <v>1</v>
      </c>
      <c r="D7" s="11">
        <v>1</v>
      </c>
      <c r="E7" s="12">
        <v>1</v>
      </c>
      <c r="F7" s="11">
        <v>1</v>
      </c>
      <c r="AA7" s="1" t="s">
        <v>11</v>
      </c>
      <c r="AB7" s="1">
        <v>29.46</v>
      </c>
      <c r="AC7" s="1">
        <v>1426</v>
      </c>
      <c r="AD7" s="1">
        <v>120.2</v>
      </c>
      <c r="AE7" s="5">
        <v>570900000000</v>
      </c>
      <c r="AF7" s="1">
        <v>17</v>
      </c>
    </row>
    <row r="8" spans="1:32" x14ac:dyDescent="0.3">
      <c r="A8" s="10" t="s">
        <v>14</v>
      </c>
      <c r="B8" s="11">
        <v>247.7</v>
      </c>
      <c r="C8" s="11">
        <v>39.333333330000002</v>
      </c>
      <c r="D8" s="11">
        <v>0.21875</v>
      </c>
      <c r="E8" s="12">
        <v>0.02</v>
      </c>
      <c r="F8" s="11">
        <v>1</v>
      </c>
      <c r="AA8" s="1" t="s">
        <v>12</v>
      </c>
      <c r="AB8" s="1">
        <v>84.01</v>
      </c>
      <c r="AC8" s="1">
        <v>2869</v>
      </c>
      <c r="AD8" s="4">
        <v>49</v>
      </c>
      <c r="AE8" s="5">
        <v>87240000000</v>
      </c>
      <c r="AF8" s="1">
        <v>14</v>
      </c>
    </row>
    <row r="9" spans="1:32" x14ac:dyDescent="0.3">
      <c r="A9" s="10" t="s">
        <v>6</v>
      </c>
      <c r="B9" s="11">
        <v>0.24099999999999999</v>
      </c>
      <c r="C9" s="11">
        <v>0.38666666700000002</v>
      </c>
      <c r="D9" s="11">
        <v>0.38281300000000001</v>
      </c>
      <c r="E9" s="12">
        <v>0.05</v>
      </c>
      <c r="F9" s="11">
        <v>0</v>
      </c>
      <c r="AA9" s="1" t="s">
        <v>13</v>
      </c>
      <c r="AB9" s="1">
        <v>164.8</v>
      </c>
      <c r="AC9" s="1">
        <v>4496</v>
      </c>
      <c r="AD9" s="1">
        <v>50.2</v>
      </c>
      <c r="AE9" s="5">
        <v>103400000000</v>
      </c>
      <c r="AF9" s="1">
        <v>2</v>
      </c>
    </row>
    <row r="10" spans="1:32" x14ac:dyDescent="0.3">
      <c r="A10" s="10" t="s">
        <v>7</v>
      </c>
      <c r="B10" s="11">
        <v>0.61499999999999999</v>
      </c>
      <c r="C10" s="11">
        <v>0.72</v>
      </c>
      <c r="D10" s="11">
        <v>0.94531299999999996</v>
      </c>
      <c r="E10" s="12">
        <v>0.81</v>
      </c>
      <c r="F10" s="11">
        <v>0</v>
      </c>
      <c r="AA10" s="1" t="s">
        <v>14</v>
      </c>
      <c r="AB10" s="1">
        <v>247.7</v>
      </c>
      <c r="AC10" s="1">
        <v>5900</v>
      </c>
      <c r="AD10" s="1">
        <v>2.8</v>
      </c>
      <c r="AE10" s="5">
        <v>100000000</v>
      </c>
      <c r="AF10" s="1">
        <v>1</v>
      </c>
    </row>
    <row r="12" spans="1:32" x14ac:dyDescent="0.3">
      <c r="AA12" s="1" t="s">
        <v>6</v>
      </c>
      <c r="AB12" s="1">
        <f>0.241/AB14</f>
        <v>0.24099999999999999</v>
      </c>
      <c r="AC12" s="1">
        <f t="shared" ref="AC12:AC20" si="0">AC2/$AC$4</f>
        <v>0.38666666666666666</v>
      </c>
      <c r="AD12" s="1">
        <f t="shared" ref="AD12:AD20" si="1">AD2/$AD$4</f>
        <v>0.3828125</v>
      </c>
      <c r="AE12" s="6">
        <f t="shared" ref="AE12:AE20" si="2">AE2/$AE$4</f>
        <v>5.3333333333333337E-2</v>
      </c>
      <c r="AF12" s="1">
        <f t="shared" ref="AF12:AF20" si="3">AF2/$AF$4</f>
        <v>0</v>
      </c>
    </row>
    <row r="13" spans="1:32" x14ac:dyDescent="0.3">
      <c r="AA13" s="1" t="s">
        <v>7</v>
      </c>
      <c r="AB13" s="1">
        <v>0.61499999999999999</v>
      </c>
      <c r="AC13" s="1">
        <f t="shared" si="0"/>
        <v>0.72</v>
      </c>
      <c r="AD13" s="1">
        <f t="shared" si="1"/>
        <v>0.94531249999999989</v>
      </c>
      <c r="AE13" s="6">
        <f t="shared" si="2"/>
        <v>0.81</v>
      </c>
      <c r="AF13" s="1">
        <f t="shared" si="3"/>
        <v>0</v>
      </c>
    </row>
    <row r="14" spans="1:32" x14ac:dyDescent="0.3">
      <c r="AA14" s="1" t="s">
        <v>8</v>
      </c>
      <c r="AB14" s="1">
        <v>1</v>
      </c>
      <c r="AC14" s="1">
        <f t="shared" si="0"/>
        <v>1</v>
      </c>
      <c r="AD14" s="1">
        <f t="shared" si="1"/>
        <v>1</v>
      </c>
      <c r="AE14" s="6">
        <f t="shared" si="2"/>
        <v>1</v>
      </c>
      <c r="AF14" s="1">
        <f t="shared" si="3"/>
        <v>1</v>
      </c>
    </row>
    <row r="15" spans="1:32" x14ac:dyDescent="0.3">
      <c r="AA15" s="1" t="s">
        <v>9</v>
      </c>
      <c r="AB15" s="1">
        <v>1.881</v>
      </c>
      <c r="AC15" s="1">
        <f t="shared" si="0"/>
        <v>1.52</v>
      </c>
      <c r="AD15" s="1">
        <f t="shared" si="1"/>
        <v>0.53125</v>
      </c>
      <c r="AE15" s="6">
        <f t="shared" si="2"/>
        <v>0.10166666666666667</v>
      </c>
      <c r="AF15" s="1">
        <f t="shared" si="3"/>
        <v>2</v>
      </c>
    </row>
    <row r="16" spans="1:32" x14ac:dyDescent="0.3">
      <c r="AA16" s="1" t="s">
        <v>10</v>
      </c>
      <c r="AB16" s="1">
        <v>11.86</v>
      </c>
      <c r="AC16" s="1">
        <f t="shared" si="0"/>
        <v>5.1866666666666665</v>
      </c>
      <c r="AD16" s="1">
        <f t="shared" si="1"/>
        <v>11.140624999999998</v>
      </c>
      <c r="AE16" s="6">
        <f t="shared" si="2"/>
        <v>317.83333333333331</v>
      </c>
      <c r="AF16" s="1">
        <f t="shared" si="3"/>
        <v>16</v>
      </c>
    </row>
    <row r="17" spans="27:32" x14ac:dyDescent="0.3">
      <c r="AA17" s="1" t="s">
        <v>11</v>
      </c>
      <c r="AB17" s="1">
        <v>29.46</v>
      </c>
      <c r="AC17" s="1">
        <f t="shared" si="0"/>
        <v>9.5066666666666659</v>
      </c>
      <c r="AD17" s="1">
        <f t="shared" si="1"/>
        <v>9.390625</v>
      </c>
      <c r="AE17" s="6">
        <f t="shared" si="2"/>
        <v>95.15</v>
      </c>
      <c r="AF17" s="1">
        <f t="shared" si="3"/>
        <v>17</v>
      </c>
    </row>
    <row r="18" spans="27:32" x14ac:dyDescent="0.3">
      <c r="AA18" s="1" t="s">
        <v>12</v>
      </c>
      <c r="AB18" s="1">
        <v>84.01</v>
      </c>
      <c r="AC18" s="1">
        <f t="shared" si="0"/>
        <v>19.126666666666665</v>
      </c>
      <c r="AD18" s="1">
        <f t="shared" si="1"/>
        <v>3.828125</v>
      </c>
      <c r="AE18" s="6">
        <f t="shared" si="2"/>
        <v>14.54</v>
      </c>
      <c r="AF18" s="1">
        <f t="shared" si="3"/>
        <v>14</v>
      </c>
    </row>
    <row r="19" spans="27:32" x14ac:dyDescent="0.3">
      <c r="AA19" s="1" t="s">
        <v>13</v>
      </c>
      <c r="AB19" s="1">
        <v>164.8</v>
      </c>
      <c r="AC19" s="1">
        <f t="shared" si="0"/>
        <v>29.973333333333333</v>
      </c>
      <c r="AD19" s="1">
        <f t="shared" si="1"/>
        <v>3.921875</v>
      </c>
      <c r="AE19" s="6">
        <f t="shared" si="2"/>
        <v>17.233333333333334</v>
      </c>
      <c r="AF19" s="1">
        <f t="shared" si="3"/>
        <v>2</v>
      </c>
    </row>
    <row r="20" spans="27:32" x14ac:dyDescent="0.3">
      <c r="AA20" s="1" t="s">
        <v>14</v>
      </c>
      <c r="AB20" s="1">
        <v>247.7</v>
      </c>
      <c r="AC20" s="1">
        <f t="shared" si="0"/>
        <v>39.333333333333336</v>
      </c>
      <c r="AD20" s="1">
        <f t="shared" si="1"/>
        <v>0.21874999999999997</v>
      </c>
      <c r="AE20" s="6">
        <f t="shared" si="2"/>
        <v>1.6666666666666666E-2</v>
      </c>
      <c r="AF20" s="1">
        <f t="shared" si="3"/>
        <v>1</v>
      </c>
    </row>
    <row r="22" spans="27:32" x14ac:dyDescent="0.3">
      <c r="AA22" s="7" t="s">
        <v>6</v>
      </c>
      <c r="AB22" s="8">
        <v>0.24099999999999999</v>
      </c>
      <c r="AC22" s="8">
        <v>0.38666666700000002</v>
      </c>
      <c r="AD22" s="8">
        <v>0.38281300000000001</v>
      </c>
      <c r="AE22" s="9">
        <v>0.05</v>
      </c>
      <c r="AF22" s="8">
        <v>0</v>
      </c>
    </row>
    <row r="23" spans="27:32" x14ac:dyDescent="0.3">
      <c r="AA23" s="10" t="s">
        <v>7</v>
      </c>
      <c r="AB23" s="11">
        <v>0.61499999999999999</v>
      </c>
      <c r="AC23" s="11">
        <v>0.72</v>
      </c>
      <c r="AD23" s="11">
        <v>0.94531299999999996</v>
      </c>
      <c r="AE23" s="12">
        <v>0.81</v>
      </c>
      <c r="AF23" s="11">
        <v>0</v>
      </c>
    </row>
    <row r="24" spans="27:32" x14ac:dyDescent="0.3">
      <c r="AA24" s="10" t="s">
        <v>8</v>
      </c>
      <c r="AB24" s="11">
        <v>1</v>
      </c>
      <c r="AC24" s="11">
        <v>1</v>
      </c>
      <c r="AD24" s="11">
        <v>1</v>
      </c>
      <c r="AE24" s="12">
        <v>1</v>
      </c>
      <c r="AF24" s="11">
        <v>1</v>
      </c>
    </row>
    <row r="25" spans="27:32" x14ac:dyDescent="0.3">
      <c r="AA25" s="10" t="s">
        <v>9</v>
      </c>
      <c r="AB25" s="11">
        <v>1.881</v>
      </c>
      <c r="AC25" s="11">
        <v>1.52</v>
      </c>
      <c r="AD25" s="11">
        <v>0.53125</v>
      </c>
      <c r="AE25" s="12">
        <v>0.1</v>
      </c>
      <c r="AF25" s="11">
        <v>2</v>
      </c>
    </row>
    <row r="26" spans="27:32" x14ac:dyDescent="0.3">
      <c r="AA26" s="10" t="s">
        <v>10</v>
      </c>
      <c r="AB26" s="11">
        <v>11.86</v>
      </c>
      <c r="AC26" s="11">
        <v>5.1866666669999999</v>
      </c>
      <c r="AD26" s="11">
        <v>11.14063</v>
      </c>
      <c r="AE26" s="12">
        <v>317.83</v>
      </c>
      <c r="AF26" s="11">
        <v>16</v>
      </c>
    </row>
    <row r="27" spans="27:32" x14ac:dyDescent="0.3">
      <c r="AA27" s="10" t="s">
        <v>11</v>
      </c>
      <c r="AB27" s="11">
        <v>29.46</v>
      </c>
      <c r="AC27" s="11">
        <v>9.5066666669999993</v>
      </c>
      <c r="AD27" s="11">
        <v>9.390625</v>
      </c>
      <c r="AE27" s="12">
        <v>95.15</v>
      </c>
      <c r="AF27" s="11">
        <v>17</v>
      </c>
    </row>
    <row r="28" spans="27:32" x14ac:dyDescent="0.3">
      <c r="AA28" s="10" t="s">
        <v>12</v>
      </c>
      <c r="AB28" s="11">
        <v>84.01</v>
      </c>
      <c r="AC28" s="11">
        <v>19.126666669999999</v>
      </c>
      <c r="AD28" s="11">
        <v>3.828125</v>
      </c>
      <c r="AE28" s="12">
        <v>14.54</v>
      </c>
      <c r="AF28" s="11">
        <v>14</v>
      </c>
    </row>
    <row r="29" spans="27:32" x14ac:dyDescent="0.3">
      <c r="AA29" s="10" t="s">
        <v>13</v>
      </c>
      <c r="AB29" s="11">
        <v>164.8</v>
      </c>
      <c r="AC29" s="11">
        <v>29.973333329999999</v>
      </c>
      <c r="AD29" s="11">
        <v>3.921875</v>
      </c>
      <c r="AE29" s="12">
        <v>17.23</v>
      </c>
      <c r="AF29" s="11">
        <v>2</v>
      </c>
    </row>
    <row r="30" spans="27:32" x14ac:dyDescent="0.3">
      <c r="AA30" s="10" t="s">
        <v>14</v>
      </c>
      <c r="AB30" s="11">
        <v>247.7</v>
      </c>
      <c r="AC30" s="11">
        <v>39.333333330000002</v>
      </c>
      <c r="AD30" s="11">
        <v>0.21875</v>
      </c>
      <c r="AE30" s="12">
        <v>0.02</v>
      </c>
      <c r="AF30" s="11">
        <v>1</v>
      </c>
    </row>
    <row r="33" spans="27:32" ht="72" x14ac:dyDescent="0.3">
      <c r="AA33" s="2" t="s">
        <v>0</v>
      </c>
      <c r="AB33" s="3" t="s">
        <v>1</v>
      </c>
      <c r="AC33" s="3" t="s">
        <v>2</v>
      </c>
      <c r="AD33" s="3" t="s">
        <v>3</v>
      </c>
      <c r="AE33" s="2" t="s">
        <v>4</v>
      </c>
      <c r="AF33" s="3" t="s">
        <v>5</v>
      </c>
    </row>
    <row r="34" spans="27:32" x14ac:dyDescent="0.3">
      <c r="AA34" s="7" t="s">
        <v>6</v>
      </c>
      <c r="AB34" s="8">
        <v>0.24099999999999999</v>
      </c>
      <c r="AC34" s="8">
        <v>0.38666666700000002</v>
      </c>
      <c r="AD34" s="8">
        <v>0.38281300000000001</v>
      </c>
      <c r="AE34" s="9">
        <v>0.05</v>
      </c>
      <c r="AF34" s="8">
        <v>0</v>
      </c>
    </row>
    <row r="35" spans="27:32" x14ac:dyDescent="0.3">
      <c r="AA35" s="10" t="s">
        <v>7</v>
      </c>
      <c r="AB35" s="11">
        <v>0.61499999999999999</v>
      </c>
      <c r="AC35" s="11">
        <v>0.72</v>
      </c>
      <c r="AD35" s="11">
        <v>0.94531299999999996</v>
      </c>
      <c r="AE35" s="12">
        <v>0.81</v>
      </c>
      <c r="AF35" s="11">
        <v>0</v>
      </c>
    </row>
    <row r="36" spans="27:32" x14ac:dyDescent="0.3">
      <c r="AA36" s="10" t="s">
        <v>8</v>
      </c>
      <c r="AB36" s="11">
        <v>1</v>
      </c>
      <c r="AC36" s="11">
        <v>1</v>
      </c>
      <c r="AD36" s="11">
        <v>1</v>
      </c>
      <c r="AE36" s="12">
        <v>1</v>
      </c>
      <c r="AF36" s="11">
        <v>1</v>
      </c>
    </row>
    <row r="37" spans="27:32" x14ac:dyDescent="0.3">
      <c r="AA37" s="10" t="s">
        <v>9</v>
      </c>
      <c r="AB37" s="11">
        <v>1.881</v>
      </c>
      <c r="AC37" s="11">
        <v>1.52</v>
      </c>
      <c r="AD37" s="11">
        <v>0.53125</v>
      </c>
      <c r="AE37" s="12">
        <v>0.1</v>
      </c>
      <c r="AF37" s="11">
        <v>2</v>
      </c>
    </row>
    <row r="38" spans="27:32" x14ac:dyDescent="0.3">
      <c r="AA38" s="10" t="s">
        <v>10</v>
      </c>
      <c r="AB38" s="11">
        <v>11.86</v>
      </c>
      <c r="AC38" s="11">
        <v>5.1866666669999999</v>
      </c>
      <c r="AD38" s="11">
        <v>11.14063</v>
      </c>
      <c r="AE38" s="12">
        <v>317.83</v>
      </c>
      <c r="AF38" s="11">
        <v>16</v>
      </c>
    </row>
    <row r="39" spans="27:32" x14ac:dyDescent="0.3">
      <c r="AA39" s="10" t="s">
        <v>11</v>
      </c>
      <c r="AB39" s="11">
        <v>29.46</v>
      </c>
      <c r="AC39" s="11">
        <v>9.5066666669999993</v>
      </c>
      <c r="AD39" s="11">
        <v>9.390625</v>
      </c>
      <c r="AE39" s="12">
        <v>95.15</v>
      </c>
      <c r="AF39" s="11">
        <v>17</v>
      </c>
    </row>
    <row r="40" spans="27:32" x14ac:dyDescent="0.3">
      <c r="AA40" s="10" t="s">
        <v>12</v>
      </c>
      <c r="AB40" s="11">
        <v>84.01</v>
      </c>
      <c r="AC40" s="11">
        <v>19.126666669999999</v>
      </c>
      <c r="AD40" s="11">
        <v>3.828125</v>
      </c>
      <c r="AE40" s="12">
        <v>14.54</v>
      </c>
      <c r="AF40" s="11">
        <v>14</v>
      </c>
    </row>
    <row r="41" spans="27:32" x14ac:dyDescent="0.3">
      <c r="AA41" s="10" t="s">
        <v>13</v>
      </c>
      <c r="AB41" s="11">
        <v>164.8</v>
      </c>
      <c r="AC41" s="11">
        <v>29.973333329999999</v>
      </c>
      <c r="AD41" s="11">
        <v>3.921875</v>
      </c>
      <c r="AE41" s="12">
        <v>17.23</v>
      </c>
      <c r="AF41" s="11">
        <v>2</v>
      </c>
    </row>
    <row r="42" spans="27:32" x14ac:dyDescent="0.3">
      <c r="AA42" s="10" t="s">
        <v>14</v>
      </c>
      <c r="AB42" s="11">
        <v>247.7</v>
      </c>
      <c r="AC42" s="11">
        <v>39.333333330000002</v>
      </c>
      <c r="AD42" s="11">
        <v>0.21875</v>
      </c>
      <c r="AE42" s="12">
        <v>0.02</v>
      </c>
      <c r="AF42" s="11">
        <v>1</v>
      </c>
    </row>
    <row r="83" spans="9:14" x14ac:dyDescent="0.3">
      <c r="I83" s="13"/>
      <c r="J83" s="14"/>
      <c r="K83" s="14"/>
      <c r="L83" s="14"/>
      <c r="M83" s="13"/>
      <c r="N83" s="14"/>
    </row>
    <row r="84" spans="9:14" x14ac:dyDescent="0.3">
      <c r="I84" s="15"/>
      <c r="J84" s="15"/>
      <c r="K84" s="15"/>
      <c r="L84" s="15"/>
      <c r="M84" s="16"/>
      <c r="N84" s="15"/>
    </row>
    <row r="85" spans="9:14" x14ac:dyDescent="0.3">
      <c r="I85" s="15"/>
      <c r="J85" s="15"/>
      <c r="K85" s="15"/>
      <c r="L85" s="15"/>
      <c r="M85" s="16"/>
      <c r="N85" s="15"/>
    </row>
    <row r="86" spans="9:14" x14ac:dyDescent="0.3">
      <c r="I86" s="15"/>
      <c r="J86" s="15"/>
      <c r="K86" s="15"/>
      <c r="L86" s="15"/>
      <c r="M86" s="16"/>
      <c r="N86" s="15"/>
    </row>
    <row r="87" spans="9:14" x14ac:dyDescent="0.3">
      <c r="I87" s="15"/>
      <c r="J87" s="15"/>
      <c r="K87" s="15"/>
      <c r="L87" s="15"/>
      <c r="M87" s="16"/>
      <c r="N87" s="15"/>
    </row>
    <row r="88" spans="9:14" x14ac:dyDescent="0.3">
      <c r="I88" s="15"/>
      <c r="J88" s="15"/>
      <c r="K88" s="15"/>
      <c r="L88" s="15"/>
      <c r="M88" s="16"/>
      <c r="N88" s="15"/>
    </row>
    <row r="89" spans="9:14" x14ac:dyDescent="0.3">
      <c r="I89" s="15"/>
      <c r="J89" s="15"/>
      <c r="K89" s="15"/>
      <c r="L89" s="15"/>
      <c r="M89" s="16"/>
      <c r="N89" s="15"/>
    </row>
    <row r="90" spans="9:14" x14ac:dyDescent="0.3">
      <c r="I90" s="15"/>
      <c r="J90" s="15"/>
      <c r="K90" s="15"/>
      <c r="L90" s="15"/>
      <c r="M90" s="16"/>
      <c r="N90" s="15"/>
    </row>
    <row r="91" spans="9:14" x14ac:dyDescent="0.3">
      <c r="I91" s="15"/>
      <c r="J91" s="15"/>
      <c r="K91" s="15"/>
      <c r="L91" s="15"/>
      <c r="M91" s="16"/>
      <c r="N91" s="15"/>
    </row>
    <row r="92" spans="9:14" x14ac:dyDescent="0.3">
      <c r="I92" s="15"/>
      <c r="J92" s="15"/>
      <c r="K92" s="15"/>
      <c r="L92" s="15"/>
      <c r="M92" s="16"/>
      <c r="N92" s="15"/>
    </row>
    <row r="99" spans="9:14" x14ac:dyDescent="0.3">
      <c r="I99" s="13"/>
      <c r="J99" s="14"/>
      <c r="K99" s="14"/>
      <c r="L99" s="14"/>
      <c r="M99" s="13"/>
      <c r="N99" s="14"/>
    </row>
    <row r="100" spans="9:14" x14ac:dyDescent="0.3">
      <c r="I100" s="15"/>
      <c r="J100" s="15"/>
      <c r="K100" s="15"/>
      <c r="L100" s="15"/>
      <c r="M100" s="16"/>
      <c r="N100" s="15"/>
    </row>
    <row r="101" spans="9:14" x14ac:dyDescent="0.3">
      <c r="I101" s="15"/>
      <c r="J101" s="15"/>
      <c r="K101" s="15"/>
      <c r="L101" s="15"/>
      <c r="M101" s="16"/>
      <c r="N101" s="15"/>
    </row>
    <row r="102" spans="9:14" x14ac:dyDescent="0.3">
      <c r="I102" s="15"/>
      <c r="J102" s="15"/>
      <c r="K102" s="15"/>
      <c r="L102" s="15"/>
      <c r="M102" s="16"/>
      <c r="N102" s="15"/>
    </row>
    <row r="103" spans="9:14" x14ac:dyDescent="0.3">
      <c r="I103" s="15"/>
      <c r="J103" s="15"/>
      <c r="K103" s="15"/>
      <c r="L103" s="15"/>
      <c r="M103" s="16"/>
      <c r="N103" s="15"/>
    </row>
    <row r="104" spans="9:14" x14ac:dyDescent="0.3">
      <c r="I104" s="15"/>
      <c r="J104" s="15"/>
      <c r="K104" s="15"/>
      <c r="L104" s="15"/>
      <c r="M104" s="16"/>
      <c r="N104" s="15"/>
    </row>
    <row r="105" spans="9:14" x14ac:dyDescent="0.3">
      <c r="I105" s="15"/>
      <c r="J105" s="15"/>
      <c r="K105" s="15"/>
      <c r="L105" s="15"/>
      <c r="M105" s="16"/>
      <c r="N105" s="15"/>
    </row>
    <row r="106" spans="9:14" x14ac:dyDescent="0.3">
      <c r="I106" s="15"/>
      <c r="J106" s="15"/>
      <c r="K106" s="15"/>
      <c r="L106" s="15"/>
      <c r="M106" s="16"/>
      <c r="N106" s="15"/>
    </row>
    <row r="107" spans="9:14" x14ac:dyDescent="0.3">
      <c r="I107" s="15"/>
      <c r="J107" s="15"/>
      <c r="K107" s="15"/>
      <c r="L107" s="15"/>
      <c r="M107" s="16"/>
      <c r="N107" s="15"/>
    </row>
    <row r="108" spans="9:14" x14ac:dyDescent="0.3">
      <c r="I108" s="15"/>
      <c r="J108" s="15"/>
      <c r="K108" s="15"/>
      <c r="L108" s="15"/>
      <c r="M108" s="16"/>
      <c r="N108" s="15"/>
    </row>
  </sheetData>
  <sortState xmlns:xlrd2="http://schemas.microsoft.com/office/spreadsheetml/2017/richdata2" ref="A2:F10">
    <sortCondition descending="1" ref="F2:F10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zoomScale="145" zoomScaleNormal="145" workbookViewId="0">
      <selection activeCell="E2" sqref="E2"/>
    </sheetView>
  </sheetViews>
  <sheetFormatPr defaultRowHeight="14.4" x14ac:dyDescent="0.3"/>
  <cols>
    <col min="1" max="1" width="10.6640625" customWidth="1"/>
    <col min="2" max="2" width="13" customWidth="1"/>
    <col min="3" max="3" width="13.109375" customWidth="1"/>
    <col min="6" max="6" width="11.88671875" customWidth="1"/>
  </cols>
  <sheetData>
    <row r="1" spans="1:6" ht="54.6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2" t="s">
        <v>24</v>
      </c>
      <c r="F1" s="3" t="s">
        <v>5</v>
      </c>
    </row>
    <row r="2" spans="1:6" x14ac:dyDescent="0.3">
      <c r="A2" s="7" t="s">
        <v>7</v>
      </c>
      <c r="B2" s="8">
        <v>0.61499999999999999</v>
      </c>
      <c r="C2" s="8">
        <v>0.72</v>
      </c>
      <c r="D2" s="8">
        <v>0.94531299999999996</v>
      </c>
      <c r="E2" s="9">
        <v>0.81</v>
      </c>
      <c r="F2" s="8">
        <v>0</v>
      </c>
    </row>
    <row r="3" spans="1:6" x14ac:dyDescent="0.3">
      <c r="A3" s="10" t="s">
        <v>8</v>
      </c>
      <c r="B3" s="11">
        <v>1</v>
      </c>
      <c r="C3" s="11">
        <v>1</v>
      </c>
      <c r="D3" s="11">
        <v>1</v>
      </c>
      <c r="E3" s="12">
        <v>1</v>
      </c>
      <c r="F3" s="11">
        <v>1</v>
      </c>
    </row>
    <row r="4" spans="1:6" x14ac:dyDescent="0.3">
      <c r="A4" s="10" t="s">
        <v>9</v>
      </c>
      <c r="B4" s="11">
        <v>1.881</v>
      </c>
      <c r="C4" s="11">
        <v>1.52</v>
      </c>
      <c r="D4" s="11">
        <v>0.53125</v>
      </c>
      <c r="E4" s="12">
        <v>0.1</v>
      </c>
      <c r="F4" s="11">
        <v>2</v>
      </c>
    </row>
    <row r="5" spans="1:6" x14ac:dyDescent="0.3">
      <c r="A5" s="10" t="s">
        <v>6</v>
      </c>
      <c r="B5" s="11">
        <v>0.24099999999999999</v>
      </c>
      <c r="C5" s="11">
        <v>0.38666666700000002</v>
      </c>
      <c r="D5" s="11">
        <v>0.38281300000000001</v>
      </c>
      <c r="E5" s="12">
        <v>0.05</v>
      </c>
      <c r="F5" s="11">
        <v>0</v>
      </c>
    </row>
    <row r="6" spans="1:6" x14ac:dyDescent="0.3">
      <c r="A6" s="10" t="s">
        <v>13</v>
      </c>
      <c r="B6" s="11">
        <v>164.8</v>
      </c>
      <c r="C6" s="11">
        <v>29.973333329999999</v>
      </c>
      <c r="D6" s="11">
        <v>3.921875</v>
      </c>
      <c r="E6" s="12">
        <v>17.23</v>
      </c>
      <c r="F6" s="11">
        <v>2</v>
      </c>
    </row>
    <row r="7" spans="1:6" x14ac:dyDescent="0.3">
      <c r="A7" s="10" t="s">
        <v>14</v>
      </c>
      <c r="B7" s="11">
        <v>247.7</v>
      </c>
      <c r="C7" s="11">
        <v>39.333333330000002</v>
      </c>
      <c r="D7" s="11">
        <v>0.21875</v>
      </c>
      <c r="E7" s="12">
        <v>0.02</v>
      </c>
      <c r="F7" s="11">
        <v>1</v>
      </c>
    </row>
    <row r="8" spans="1:6" x14ac:dyDescent="0.3">
      <c r="A8" s="10" t="s">
        <v>11</v>
      </c>
      <c r="B8" s="11">
        <v>29.46</v>
      </c>
      <c r="C8" s="11">
        <v>9.5066666669999993</v>
      </c>
      <c r="D8" s="11">
        <v>9.390625</v>
      </c>
      <c r="E8" s="12">
        <v>95.15</v>
      </c>
      <c r="F8" s="11">
        <v>17</v>
      </c>
    </row>
    <row r="9" spans="1:6" x14ac:dyDescent="0.3">
      <c r="A9" s="10" t="s">
        <v>12</v>
      </c>
      <c r="B9" s="11">
        <v>84.01</v>
      </c>
      <c r="C9" s="11">
        <v>19.126666669999999</v>
      </c>
      <c r="D9" s="11">
        <v>3.828125</v>
      </c>
      <c r="E9" s="12">
        <v>14.54</v>
      </c>
      <c r="F9" s="11">
        <v>14</v>
      </c>
    </row>
    <row r="10" spans="1:6" x14ac:dyDescent="0.3">
      <c r="A10" s="10" t="s">
        <v>10</v>
      </c>
      <c r="B10" s="11">
        <v>11.86</v>
      </c>
      <c r="C10" s="11">
        <v>5.1866666669999999</v>
      </c>
      <c r="D10" s="11">
        <v>11.14063</v>
      </c>
      <c r="E10" s="12">
        <v>317.83</v>
      </c>
      <c r="F10" s="11">
        <v>16</v>
      </c>
    </row>
  </sheetData>
  <sortState xmlns:xlrd2="http://schemas.microsoft.com/office/spreadsheetml/2017/richdata2" ref="A2:F10">
    <sortCondition ref="A2:A1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zoomScale="115" zoomScaleNormal="115" workbookViewId="0">
      <selection activeCell="I14" sqref="I14"/>
    </sheetView>
  </sheetViews>
  <sheetFormatPr defaultRowHeight="14.4" x14ac:dyDescent="0.3"/>
  <cols>
    <col min="1" max="1" width="11.33203125" customWidth="1"/>
    <col min="2" max="2" width="13.33203125" customWidth="1"/>
    <col min="3" max="3" width="12.88671875" customWidth="1"/>
    <col min="6" max="6" width="12" customWidth="1"/>
  </cols>
  <sheetData>
    <row r="1" spans="1:6" ht="49.95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2" t="s">
        <v>24</v>
      </c>
      <c r="F1" s="3" t="s">
        <v>5</v>
      </c>
    </row>
    <row r="2" spans="1:6" x14ac:dyDescent="0.3">
      <c r="A2" s="7" t="s">
        <v>14</v>
      </c>
      <c r="B2" s="8">
        <v>247.7</v>
      </c>
      <c r="C2" s="8">
        <v>39.333333330000002</v>
      </c>
      <c r="D2" s="8">
        <v>0.21875</v>
      </c>
      <c r="E2" s="9">
        <v>0.02</v>
      </c>
      <c r="F2" s="8">
        <v>1</v>
      </c>
    </row>
    <row r="3" spans="1:6" x14ac:dyDescent="0.3">
      <c r="A3" s="10" t="s">
        <v>6</v>
      </c>
      <c r="B3" s="11">
        <v>0.24099999999999999</v>
      </c>
      <c r="C3" s="11">
        <v>0.38666666700000002</v>
      </c>
      <c r="D3" s="11">
        <v>0.38281300000000001</v>
      </c>
      <c r="E3" s="12">
        <v>0.05</v>
      </c>
      <c r="F3" s="11">
        <v>0</v>
      </c>
    </row>
    <row r="4" spans="1:6" x14ac:dyDescent="0.3">
      <c r="A4" s="10" t="s">
        <v>9</v>
      </c>
      <c r="B4" s="11">
        <v>1.881</v>
      </c>
      <c r="C4" s="11">
        <v>1.52</v>
      </c>
      <c r="D4" s="11">
        <v>0.53125</v>
      </c>
      <c r="E4" s="12">
        <v>0.1</v>
      </c>
      <c r="F4" s="11">
        <v>2</v>
      </c>
    </row>
    <row r="5" spans="1:6" x14ac:dyDescent="0.3">
      <c r="A5" s="10" t="s">
        <v>7</v>
      </c>
      <c r="B5" s="11">
        <v>0.61499999999999999</v>
      </c>
      <c r="C5" s="11">
        <v>0.72</v>
      </c>
      <c r="D5" s="11">
        <v>0.94531299999999996</v>
      </c>
      <c r="E5" s="12">
        <v>0.81</v>
      </c>
      <c r="F5" s="11">
        <v>0</v>
      </c>
    </row>
    <row r="6" spans="1:6" x14ac:dyDescent="0.3">
      <c r="A6" s="10" t="s">
        <v>8</v>
      </c>
      <c r="B6" s="11">
        <v>1</v>
      </c>
      <c r="C6" s="11">
        <v>1</v>
      </c>
      <c r="D6" s="11">
        <v>1</v>
      </c>
      <c r="E6" s="12">
        <v>1</v>
      </c>
      <c r="F6" s="11">
        <v>1</v>
      </c>
    </row>
    <row r="7" spans="1:6" x14ac:dyDescent="0.3">
      <c r="A7" s="10" t="s">
        <v>12</v>
      </c>
      <c r="B7" s="11">
        <v>84.01</v>
      </c>
      <c r="C7" s="11">
        <v>19.126666669999999</v>
      </c>
      <c r="D7" s="11">
        <v>3.828125</v>
      </c>
      <c r="E7" s="12">
        <v>14.54</v>
      </c>
      <c r="F7" s="11">
        <v>14</v>
      </c>
    </row>
    <row r="8" spans="1:6" x14ac:dyDescent="0.3">
      <c r="A8" s="10" t="s">
        <v>13</v>
      </c>
      <c r="B8" s="11">
        <v>164.8</v>
      </c>
      <c r="C8" s="11">
        <v>29.973333329999999</v>
      </c>
      <c r="D8" s="11">
        <v>3.921875</v>
      </c>
      <c r="E8" s="12">
        <v>17.23</v>
      </c>
      <c r="F8" s="11">
        <v>2</v>
      </c>
    </row>
    <row r="9" spans="1:6" x14ac:dyDescent="0.3">
      <c r="A9" s="10" t="s">
        <v>11</v>
      </c>
      <c r="B9" s="11">
        <v>29.46</v>
      </c>
      <c r="C9" s="11">
        <v>9.5066666669999993</v>
      </c>
      <c r="D9" s="11">
        <v>9.390625</v>
      </c>
      <c r="E9" s="12">
        <v>95.15</v>
      </c>
      <c r="F9" s="11">
        <v>17</v>
      </c>
    </row>
    <row r="10" spans="1:6" x14ac:dyDescent="0.3">
      <c r="A10" s="10" t="s">
        <v>10</v>
      </c>
      <c r="B10" s="11">
        <v>11.86</v>
      </c>
      <c r="C10" s="11">
        <v>5.1866666669999999</v>
      </c>
      <c r="D10" s="11">
        <v>11.14063</v>
      </c>
      <c r="E10" s="12">
        <v>317.83</v>
      </c>
      <c r="F10" s="11">
        <v>16</v>
      </c>
    </row>
  </sheetData>
  <sortState xmlns:xlrd2="http://schemas.microsoft.com/office/spreadsheetml/2017/richdata2" ref="A2:F10">
    <sortCondition ref="E2:E1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09697-8F33-4EC0-950B-CE64D6077876}">
  <dimension ref="A1:F10"/>
  <sheetViews>
    <sheetView workbookViewId="0">
      <selection activeCell="H20" sqref="H20"/>
    </sheetView>
  </sheetViews>
  <sheetFormatPr defaultRowHeight="14.4" x14ac:dyDescent="0.3"/>
  <cols>
    <col min="1" max="6" width="12.44140625" customWidth="1"/>
  </cols>
  <sheetData>
    <row r="1" spans="1:6" ht="64.8" customHeight="1" x14ac:dyDescent="0.3">
      <c r="A1" s="17" t="s">
        <v>0</v>
      </c>
      <c r="B1" s="18" t="s">
        <v>1</v>
      </c>
      <c r="C1" s="18" t="s">
        <v>2</v>
      </c>
      <c r="D1" s="18" t="s">
        <v>3</v>
      </c>
      <c r="E1" s="19" t="s">
        <v>24</v>
      </c>
      <c r="F1" s="18" t="s">
        <v>5</v>
      </c>
    </row>
    <row r="2" spans="1:6" x14ac:dyDescent="0.3">
      <c r="A2" s="10" t="s">
        <v>6</v>
      </c>
      <c r="B2" s="11">
        <v>0.24099999999999999</v>
      </c>
      <c r="C2" s="11">
        <v>0.38666666700000002</v>
      </c>
      <c r="D2" s="11">
        <v>0.38281300000000001</v>
      </c>
      <c r="E2" s="12">
        <v>0.05</v>
      </c>
      <c r="F2" s="11">
        <v>0</v>
      </c>
    </row>
    <row r="3" spans="1:6" x14ac:dyDescent="0.3">
      <c r="A3" s="10" t="s">
        <v>7</v>
      </c>
      <c r="B3" s="11">
        <v>0.61499999999999999</v>
      </c>
      <c r="C3" s="11">
        <v>0.72</v>
      </c>
      <c r="D3" s="11">
        <v>0.94531299999999996</v>
      </c>
      <c r="E3" s="12">
        <v>0.81</v>
      </c>
      <c r="F3" s="11">
        <v>0</v>
      </c>
    </row>
    <row r="4" spans="1:6" x14ac:dyDescent="0.3">
      <c r="A4" s="10" t="s">
        <v>8</v>
      </c>
      <c r="B4" s="11">
        <v>1</v>
      </c>
      <c r="C4" s="11">
        <v>1</v>
      </c>
      <c r="D4" s="11">
        <v>1</v>
      </c>
      <c r="E4" s="12">
        <v>1</v>
      </c>
      <c r="F4" s="11">
        <v>1</v>
      </c>
    </row>
    <row r="5" spans="1:6" x14ac:dyDescent="0.3">
      <c r="A5" s="10" t="s">
        <v>9</v>
      </c>
      <c r="B5" s="11">
        <v>1.881</v>
      </c>
      <c r="C5" s="11">
        <v>1.52</v>
      </c>
      <c r="D5" s="11">
        <v>0.53125</v>
      </c>
      <c r="E5" s="12">
        <v>0.1</v>
      </c>
      <c r="F5" s="11">
        <v>2</v>
      </c>
    </row>
    <row r="6" spans="1:6" x14ac:dyDescent="0.3">
      <c r="A6" s="10" t="s">
        <v>10</v>
      </c>
      <c r="B6" s="11">
        <v>11.86</v>
      </c>
      <c r="C6" s="11">
        <v>5.1866666669999999</v>
      </c>
      <c r="D6" s="11">
        <v>11.14063</v>
      </c>
      <c r="E6" s="12">
        <v>317.83</v>
      </c>
      <c r="F6" s="11">
        <v>16</v>
      </c>
    </row>
    <row r="7" spans="1:6" x14ac:dyDescent="0.3">
      <c r="A7" s="10" t="s">
        <v>11</v>
      </c>
      <c r="B7" s="11">
        <v>29.46</v>
      </c>
      <c r="C7" s="11">
        <v>9.5066666669999993</v>
      </c>
      <c r="D7" s="11">
        <v>9.390625</v>
      </c>
      <c r="E7" s="12">
        <v>95.15</v>
      </c>
      <c r="F7" s="11">
        <v>17</v>
      </c>
    </row>
    <row r="8" spans="1:6" x14ac:dyDescent="0.3">
      <c r="A8" s="10" t="s">
        <v>12</v>
      </c>
      <c r="B8" s="11">
        <v>84.01</v>
      </c>
      <c r="C8" s="11">
        <v>19.126666669999999</v>
      </c>
      <c r="D8" s="11">
        <v>3.828125</v>
      </c>
      <c r="E8" s="12">
        <v>14.54</v>
      </c>
      <c r="F8" s="11">
        <v>14</v>
      </c>
    </row>
    <row r="9" spans="1:6" x14ac:dyDescent="0.3">
      <c r="A9" s="10" t="s">
        <v>13</v>
      </c>
      <c r="B9" s="11">
        <v>164.8</v>
      </c>
      <c r="C9" s="11">
        <v>29.973333329999999</v>
      </c>
      <c r="D9" s="11">
        <v>3.921875</v>
      </c>
      <c r="E9" s="12">
        <v>17.23</v>
      </c>
      <c r="F9" s="11">
        <v>2</v>
      </c>
    </row>
    <row r="10" spans="1:6" x14ac:dyDescent="0.3">
      <c r="A10" s="10" t="s">
        <v>14</v>
      </c>
      <c r="B10" s="11">
        <v>247.7</v>
      </c>
      <c r="C10" s="11">
        <v>39.333333330000002</v>
      </c>
      <c r="D10" s="11">
        <v>0.21875</v>
      </c>
      <c r="E10" s="12">
        <v>0.02</v>
      </c>
      <c r="F10" s="11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71FC-CBC7-4586-B990-A7CF8BC6A78B}">
  <sheetPr filterMode="1"/>
  <dimension ref="A1:F10"/>
  <sheetViews>
    <sheetView zoomScale="130" zoomScaleNormal="130" workbookViewId="0">
      <selection activeCell="F20" sqref="F20"/>
    </sheetView>
  </sheetViews>
  <sheetFormatPr defaultRowHeight="14.4" x14ac:dyDescent="0.3"/>
  <cols>
    <col min="1" max="6" width="12.109375" customWidth="1"/>
  </cols>
  <sheetData>
    <row r="1" spans="1:6" ht="43.2" x14ac:dyDescent="0.3">
      <c r="A1" s="17" t="s">
        <v>0</v>
      </c>
      <c r="B1" s="18" t="s">
        <v>1</v>
      </c>
      <c r="C1" s="18" t="s">
        <v>2</v>
      </c>
      <c r="D1" s="18" t="s">
        <v>3</v>
      </c>
      <c r="E1" s="19" t="s">
        <v>24</v>
      </c>
      <c r="F1" s="18" t="s">
        <v>5</v>
      </c>
    </row>
    <row r="2" spans="1:6" hidden="1" x14ac:dyDescent="0.3">
      <c r="A2" s="10" t="s">
        <v>6</v>
      </c>
      <c r="B2" s="11">
        <v>0.24099999999999999</v>
      </c>
      <c r="C2" s="11">
        <v>0.38666666700000002</v>
      </c>
      <c r="D2" s="11">
        <v>0.38281300000000001</v>
      </c>
      <c r="E2" s="12">
        <v>0.05</v>
      </c>
      <c r="F2" s="11">
        <v>0</v>
      </c>
    </row>
    <row r="3" spans="1:6" hidden="1" x14ac:dyDescent="0.3">
      <c r="A3" s="10" t="s">
        <v>7</v>
      </c>
      <c r="B3" s="11">
        <v>0.61499999999999999</v>
      </c>
      <c r="C3" s="11">
        <v>0.72</v>
      </c>
      <c r="D3" s="11">
        <v>0.94531299999999996</v>
      </c>
      <c r="E3" s="12">
        <v>0.81</v>
      </c>
      <c r="F3" s="11">
        <v>0</v>
      </c>
    </row>
    <row r="4" spans="1:6" hidden="1" x14ac:dyDescent="0.3">
      <c r="A4" s="10" t="s">
        <v>8</v>
      </c>
      <c r="B4" s="11">
        <v>1</v>
      </c>
      <c r="C4" s="11">
        <v>1</v>
      </c>
      <c r="D4" s="11">
        <v>1</v>
      </c>
      <c r="E4" s="12">
        <v>1</v>
      </c>
      <c r="F4" s="11">
        <v>1</v>
      </c>
    </row>
    <row r="5" spans="1:6" hidden="1" x14ac:dyDescent="0.3">
      <c r="A5" s="10" t="s">
        <v>9</v>
      </c>
      <c r="B5" s="11">
        <v>1.881</v>
      </c>
      <c r="C5" s="11">
        <v>1.52</v>
      </c>
      <c r="D5" s="11">
        <v>0.53125</v>
      </c>
      <c r="E5" s="12">
        <v>0.1</v>
      </c>
      <c r="F5" s="11">
        <v>2</v>
      </c>
    </row>
    <row r="6" spans="1:6" hidden="1" x14ac:dyDescent="0.3">
      <c r="A6" s="10" t="s">
        <v>10</v>
      </c>
      <c r="B6" s="11">
        <v>11.86</v>
      </c>
      <c r="C6" s="11">
        <v>5.1866666669999999</v>
      </c>
      <c r="D6" s="11">
        <v>11.14063</v>
      </c>
      <c r="E6" s="12">
        <v>317.83</v>
      </c>
      <c r="F6" s="11">
        <v>16</v>
      </c>
    </row>
    <row r="7" spans="1:6" hidden="1" x14ac:dyDescent="0.3">
      <c r="A7" s="10" t="s">
        <v>11</v>
      </c>
      <c r="B7" s="11">
        <v>29.46</v>
      </c>
      <c r="C7" s="11">
        <v>9.5066666669999993</v>
      </c>
      <c r="D7" s="11">
        <v>9.390625</v>
      </c>
      <c r="E7" s="12">
        <v>95.15</v>
      </c>
      <c r="F7" s="11">
        <v>17</v>
      </c>
    </row>
    <row r="8" spans="1:6" x14ac:dyDescent="0.3">
      <c r="A8" s="10" t="s">
        <v>12</v>
      </c>
      <c r="B8" s="11">
        <v>84.01</v>
      </c>
      <c r="C8" s="11">
        <v>19.126666669999999</v>
      </c>
      <c r="D8" s="11">
        <v>3.828125</v>
      </c>
      <c r="E8" s="12">
        <v>14.54</v>
      </c>
      <c r="F8" s="11">
        <v>14</v>
      </c>
    </row>
    <row r="9" spans="1:6" x14ac:dyDescent="0.3">
      <c r="A9" s="10" t="s">
        <v>13</v>
      </c>
      <c r="B9" s="11">
        <v>164.8</v>
      </c>
      <c r="C9" s="11">
        <v>29.973333329999999</v>
      </c>
      <c r="D9" s="11">
        <v>3.921875</v>
      </c>
      <c r="E9" s="12">
        <v>17.23</v>
      </c>
      <c r="F9" s="11">
        <v>2</v>
      </c>
    </row>
    <row r="10" spans="1:6" x14ac:dyDescent="0.3">
      <c r="A10" s="10" t="s">
        <v>14</v>
      </c>
      <c r="B10" s="11">
        <v>247.7</v>
      </c>
      <c r="C10" s="11">
        <v>39.333333330000002</v>
      </c>
      <c r="D10" s="11">
        <v>0.21875</v>
      </c>
      <c r="E10" s="12">
        <v>0.02</v>
      </c>
      <c r="F10" s="11">
        <v>1</v>
      </c>
    </row>
  </sheetData>
  <autoFilter ref="A1:F10" xr:uid="{066671FC-CBC7-4586-B990-A7CF8BC6A78B}">
    <filterColumn colId="1">
      <filters>
        <filter val="164,8"/>
        <filter val="247,7"/>
        <filter val="84,01"/>
      </filters>
    </filterColumn>
    <filterColumn colId="3">
      <filters>
        <filter val="0,21875"/>
        <filter val="0,382813"/>
        <filter val="0,53125"/>
        <filter val="0,945313"/>
        <filter val="1"/>
        <filter val="3,828125"/>
        <filter val="3,921875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30C23-77E0-4EDF-936F-3414AB74BDFF}">
  <sheetPr filterMode="1"/>
  <dimension ref="A1:F10"/>
  <sheetViews>
    <sheetView tabSelected="1" zoomScale="130" zoomScaleNormal="130" workbookViewId="0">
      <selection activeCell="H15" sqref="H15"/>
    </sheetView>
  </sheetViews>
  <sheetFormatPr defaultRowHeight="14.4" x14ac:dyDescent="0.3"/>
  <cols>
    <col min="1" max="6" width="12.44140625" customWidth="1"/>
  </cols>
  <sheetData>
    <row r="1" spans="1:6" ht="43.2" x14ac:dyDescent="0.3">
      <c r="A1" s="17" t="s">
        <v>0</v>
      </c>
      <c r="B1" s="18" t="s">
        <v>1</v>
      </c>
      <c r="C1" s="18" t="s">
        <v>2</v>
      </c>
      <c r="D1" s="18" t="s">
        <v>3</v>
      </c>
      <c r="E1" s="19" t="s">
        <v>24</v>
      </c>
      <c r="F1" s="18" t="s">
        <v>5</v>
      </c>
    </row>
    <row r="2" spans="1:6" hidden="1" x14ac:dyDescent="0.3">
      <c r="A2" s="10" t="s">
        <v>6</v>
      </c>
      <c r="B2" s="11">
        <v>0.24099999999999999</v>
      </c>
      <c r="C2" s="11">
        <v>0.38666666700000002</v>
      </c>
      <c r="D2" s="11">
        <v>0.38281300000000001</v>
      </c>
      <c r="E2" s="12">
        <v>0.05</v>
      </c>
      <c r="F2" s="11">
        <v>0</v>
      </c>
    </row>
    <row r="3" spans="1:6" hidden="1" x14ac:dyDescent="0.3">
      <c r="A3" s="10" t="s">
        <v>7</v>
      </c>
      <c r="B3" s="11">
        <v>0.61499999999999999</v>
      </c>
      <c r="C3" s="11">
        <v>0.72</v>
      </c>
      <c r="D3" s="11">
        <v>0.94531299999999996</v>
      </c>
      <c r="E3" s="12">
        <v>0.81</v>
      </c>
      <c r="F3" s="11">
        <v>0</v>
      </c>
    </row>
    <row r="4" spans="1:6" x14ac:dyDescent="0.3">
      <c r="A4" s="10" t="s">
        <v>8</v>
      </c>
      <c r="B4" s="11">
        <v>1</v>
      </c>
      <c r="C4" s="11">
        <v>1</v>
      </c>
      <c r="D4" s="11">
        <v>1</v>
      </c>
      <c r="E4" s="12">
        <v>1</v>
      </c>
      <c r="F4" s="11">
        <v>1</v>
      </c>
    </row>
    <row r="5" spans="1:6" hidden="1" x14ac:dyDescent="0.3">
      <c r="A5" s="10" t="s">
        <v>9</v>
      </c>
      <c r="B5" s="11">
        <v>1.881</v>
      </c>
      <c r="C5" s="11">
        <v>1.52</v>
      </c>
      <c r="D5" s="11">
        <v>0.53125</v>
      </c>
      <c r="E5" s="12">
        <v>0.1</v>
      </c>
      <c r="F5" s="11">
        <v>2</v>
      </c>
    </row>
    <row r="6" spans="1:6" hidden="1" x14ac:dyDescent="0.3">
      <c r="A6" s="10" t="s">
        <v>10</v>
      </c>
      <c r="B6" s="11">
        <v>11.86</v>
      </c>
      <c r="C6" s="11">
        <v>5.1866666669999999</v>
      </c>
      <c r="D6" s="11">
        <v>11.14063</v>
      </c>
      <c r="E6" s="12">
        <v>317.83</v>
      </c>
      <c r="F6" s="11">
        <v>16</v>
      </c>
    </row>
    <row r="7" spans="1:6" hidden="1" x14ac:dyDescent="0.3">
      <c r="A7" s="10" t="s">
        <v>11</v>
      </c>
      <c r="B7" s="11">
        <v>29.46</v>
      </c>
      <c r="C7" s="11">
        <v>9.5066666669999993</v>
      </c>
      <c r="D7" s="11">
        <v>9.390625</v>
      </c>
      <c r="E7" s="12">
        <v>95.15</v>
      </c>
      <c r="F7" s="11">
        <v>17</v>
      </c>
    </row>
    <row r="8" spans="1:6" hidden="1" x14ac:dyDescent="0.3">
      <c r="A8" s="10" t="s">
        <v>12</v>
      </c>
      <c r="B8" s="11">
        <v>84.01</v>
      </c>
      <c r="C8" s="11">
        <v>19.126666669999999</v>
      </c>
      <c r="D8" s="11">
        <v>3.828125</v>
      </c>
      <c r="E8" s="12">
        <v>14.54</v>
      </c>
      <c r="F8" s="11">
        <v>14</v>
      </c>
    </row>
    <row r="9" spans="1:6" x14ac:dyDescent="0.3">
      <c r="A9" s="10" t="s">
        <v>13</v>
      </c>
      <c r="B9" s="11">
        <v>164.8</v>
      </c>
      <c r="C9" s="11">
        <v>29.973333329999999</v>
      </c>
      <c r="D9" s="11">
        <v>3.921875</v>
      </c>
      <c r="E9" s="12">
        <v>17.23</v>
      </c>
      <c r="F9" s="11">
        <v>2</v>
      </c>
    </row>
    <row r="10" spans="1:6" hidden="1" x14ac:dyDescent="0.3">
      <c r="A10" s="10" t="s">
        <v>14</v>
      </c>
      <c r="B10" s="11">
        <v>247.7</v>
      </c>
      <c r="C10" s="11">
        <v>39.333333330000002</v>
      </c>
      <c r="D10" s="11">
        <v>0.21875</v>
      </c>
      <c r="E10" s="12">
        <v>0.02</v>
      </c>
      <c r="F10" s="11">
        <v>1</v>
      </c>
    </row>
  </sheetData>
  <autoFilter ref="A1:F10" xr:uid="{A7930C23-77E0-4EDF-936F-3414AB74BDFF}">
    <filterColumn colId="2">
      <filters>
        <filter val="0,72"/>
        <filter val="1"/>
        <filter val="1,52"/>
        <filter val="19,12666667"/>
        <filter val="29,97333333"/>
        <filter val="39,33333333"/>
        <filter val="5,186666667"/>
        <filter val="9,506666667"/>
      </filters>
    </filterColumn>
    <filterColumn colId="4">
      <filters>
        <filter val="1,00"/>
        <filter val="14,54"/>
        <filter val="17,23"/>
        <filter val="95,15"/>
      </filters>
    </filterColumn>
    <filterColumn colId="5">
      <filters>
        <filter val="1"/>
        <filter val="2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E6FBE-F87F-4969-A46D-9604AEC0FE75}">
  <sheetPr filterMode="1"/>
  <dimension ref="B2:H11"/>
  <sheetViews>
    <sheetView workbookViewId="0">
      <selection activeCell="F17" sqref="F17"/>
    </sheetView>
  </sheetViews>
  <sheetFormatPr defaultRowHeight="14.4" x14ac:dyDescent="0.3"/>
  <cols>
    <col min="2" max="2" width="8.5546875" bestFit="1" customWidth="1"/>
    <col min="3" max="4" width="9.88671875" bestFit="1" customWidth="1"/>
  </cols>
  <sheetData>
    <row r="2" spans="2:8" ht="62.4" x14ac:dyDescent="0.3">
      <c r="B2" s="28" t="s">
        <v>0</v>
      </c>
      <c r="C2" s="28" t="s">
        <v>31</v>
      </c>
      <c r="D2" s="28" t="s">
        <v>22</v>
      </c>
      <c r="E2" s="28" t="s">
        <v>23</v>
      </c>
      <c r="F2" s="28" t="s">
        <v>24</v>
      </c>
      <c r="G2" s="28" t="s">
        <v>21</v>
      </c>
      <c r="H2" s="25" t="s">
        <v>21</v>
      </c>
    </row>
    <row r="3" spans="2:8" ht="28.8" hidden="1" x14ac:dyDescent="0.3">
      <c r="B3" s="29" t="s">
        <v>6</v>
      </c>
      <c r="C3" s="30">
        <v>0.24</v>
      </c>
      <c r="D3" s="30">
        <v>0.38666666666666666</v>
      </c>
      <c r="E3" s="30">
        <v>0.3828125</v>
      </c>
      <c r="F3" s="30">
        <v>5.3333333333333337E-2</v>
      </c>
      <c r="G3" s="31">
        <v>0</v>
      </c>
      <c r="H3" s="26">
        <v>0</v>
      </c>
    </row>
    <row r="4" spans="2:8" ht="15.6" hidden="1" x14ac:dyDescent="0.3">
      <c r="B4" s="29" t="s">
        <v>7</v>
      </c>
      <c r="C4" s="30">
        <v>0.62</v>
      </c>
      <c r="D4" s="30">
        <v>0.72</v>
      </c>
      <c r="E4" s="30">
        <v>0.94531249999999989</v>
      </c>
      <c r="F4" s="30">
        <v>0.81</v>
      </c>
      <c r="G4" s="31">
        <v>0</v>
      </c>
      <c r="H4" s="26">
        <v>0</v>
      </c>
    </row>
    <row r="5" spans="2:8" ht="15.6" hidden="1" x14ac:dyDescent="0.3">
      <c r="B5" s="29" t="s">
        <v>8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26">
        <v>1</v>
      </c>
    </row>
    <row r="6" spans="2:8" ht="15.6" hidden="1" x14ac:dyDescent="0.3">
      <c r="B6" s="29" t="s">
        <v>9</v>
      </c>
      <c r="C6" s="30">
        <v>1.88</v>
      </c>
      <c r="D6" s="30">
        <v>1.92</v>
      </c>
      <c r="E6" s="30">
        <v>0.53125</v>
      </c>
      <c r="F6" s="30">
        <v>0.10166666666666667</v>
      </c>
      <c r="G6" s="31">
        <v>2</v>
      </c>
      <c r="H6" s="26">
        <v>2</v>
      </c>
    </row>
    <row r="7" spans="2:8" ht="15.6" x14ac:dyDescent="0.3">
      <c r="B7" s="29" t="s">
        <v>10</v>
      </c>
      <c r="C7" s="30">
        <v>11.86</v>
      </c>
      <c r="D7" s="30">
        <v>5.1866666666666665</v>
      </c>
      <c r="E7" s="30">
        <v>11.140624999999998</v>
      </c>
      <c r="F7" s="30">
        <v>317.83333333333331</v>
      </c>
      <c r="G7" s="31">
        <v>16</v>
      </c>
      <c r="H7" s="26">
        <v>16</v>
      </c>
    </row>
    <row r="8" spans="2:8" ht="15.6" x14ac:dyDescent="0.3">
      <c r="B8" s="29" t="s">
        <v>11</v>
      </c>
      <c r="C8" s="30">
        <v>29.46</v>
      </c>
      <c r="D8" s="30">
        <v>9.5066666666666659</v>
      </c>
      <c r="E8" s="30">
        <v>9.390625</v>
      </c>
      <c r="F8" s="30">
        <v>95.15</v>
      </c>
      <c r="G8" s="31">
        <v>17</v>
      </c>
      <c r="H8" s="26">
        <v>17</v>
      </c>
    </row>
    <row r="9" spans="2:8" ht="15.6" hidden="1" x14ac:dyDescent="0.3">
      <c r="B9" s="29" t="s">
        <v>12</v>
      </c>
      <c r="C9" s="30">
        <v>84.01</v>
      </c>
      <c r="D9" s="30">
        <v>19.126666666666665</v>
      </c>
      <c r="E9" s="30">
        <v>3.828125</v>
      </c>
      <c r="F9" s="30">
        <v>14.54</v>
      </c>
      <c r="G9" s="31">
        <v>14</v>
      </c>
      <c r="H9" s="26">
        <v>14</v>
      </c>
    </row>
    <row r="10" spans="2:8" ht="15.6" x14ac:dyDescent="0.3">
      <c r="B10" s="29" t="s">
        <v>13</v>
      </c>
      <c r="C10" s="30">
        <v>164.8</v>
      </c>
      <c r="D10" s="30">
        <v>29.973333333333333</v>
      </c>
      <c r="E10" s="30">
        <v>3.921875</v>
      </c>
      <c r="F10" s="30">
        <v>17.233333333333334</v>
      </c>
      <c r="G10" s="31">
        <v>2</v>
      </c>
      <c r="H10" s="26">
        <v>2</v>
      </c>
    </row>
    <row r="11" spans="2:8" ht="15.6" hidden="1" x14ac:dyDescent="0.3">
      <c r="B11" s="29" t="s">
        <v>14</v>
      </c>
      <c r="C11" s="30">
        <v>247.7</v>
      </c>
      <c r="D11" s="30">
        <v>39.333333333333336</v>
      </c>
      <c r="E11" s="30">
        <v>0.21874999999999997</v>
      </c>
      <c r="F11" s="30">
        <v>1.6666666666666666E-2</v>
      </c>
      <c r="G11" s="31">
        <v>1</v>
      </c>
      <c r="H11" s="26">
        <v>1</v>
      </c>
    </row>
  </sheetData>
  <autoFilter ref="B2:H11" xr:uid="{B48E6FBE-F87F-4969-A46D-9604AEC0FE75}">
    <filterColumn colId="3">
      <filters>
        <filter val="11,14"/>
        <filter val="3,92"/>
        <filter val="9,39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D6C2D-B3BF-4EAA-A6B1-700B12FB4251}">
  <dimension ref="A1:M33"/>
  <sheetViews>
    <sheetView zoomScale="80" zoomScaleNormal="80" workbookViewId="0">
      <selection activeCell="M8" sqref="M8"/>
    </sheetView>
  </sheetViews>
  <sheetFormatPr defaultRowHeight="14.4" x14ac:dyDescent="0.3"/>
  <cols>
    <col min="1" max="1" width="11.109375" customWidth="1"/>
    <col min="2" max="2" width="19.44140625" customWidth="1"/>
    <col min="5" max="5" width="18.5546875" customWidth="1"/>
    <col min="8" max="8" width="10.5546875" customWidth="1"/>
    <col min="9" max="9" width="21.109375" customWidth="1"/>
    <col min="11" max="11" width="8.88671875" customWidth="1"/>
    <col min="12" max="12" width="20" customWidth="1"/>
  </cols>
  <sheetData>
    <row r="1" spans="1:6" ht="45" customHeight="1" x14ac:dyDescent="0.3">
      <c r="A1" s="24" t="s">
        <v>0</v>
      </c>
      <c r="B1" s="25" t="s">
        <v>1</v>
      </c>
      <c r="C1" s="25" t="s">
        <v>22</v>
      </c>
      <c r="D1" s="25" t="s">
        <v>23</v>
      </c>
      <c r="E1" s="25" t="s">
        <v>24</v>
      </c>
      <c r="F1" s="25" t="s">
        <v>21</v>
      </c>
    </row>
    <row r="2" spans="1:6" ht="16.2" customHeight="1" x14ac:dyDescent="0.3">
      <c r="A2" s="24" t="s">
        <v>6</v>
      </c>
      <c r="B2" s="26">
        <v>0.24099999999999999</v>
      </c>
      <c r="C2" s="26">
        <v>0.38666666666666666</v>
      </c>
      <c r="D2" s="26">
        <v>0.3828125</v>
      </c>
      <c r="E2" s="26">
        <v>5.3333333333333337E-2</v>
      </c>
      <c r="F2" s="26">
        <v>0</v>
      </c>
    </row>
    <row r="3" spans="1:6" ht="15.6" x14ac:dyDescent="0.3">
      <c r="A3" s="24" t="s">
        <v>7</v>
      </c>
      <c r="B3" s="26">
        <v>0.61499999999999999</v>
      </c>
      <c r="C3" s="26">
        <v>0.72</v>
      </c>
      <c r="D3" s="26">
        <v>0.94531249999999989</v>
      </c>
      <c r="E3" s="26">
        <v>0.81</v>
      </c>
      <c r="F3" s="26">
        <v>0</v>
      </c>
    </row>
    <row r="4" spans="1:6" ht="15.6" x14ac:dyDescent="0.3">
      <c r="A4" s="24" t="s">
        <v>8</v>
      </c>
      <c r="B4" s="26">
        <v>1</v>
      </c>
      <c r="C4" s="26">
        <v>1</v>
      </c>
      <c r="D4" s="26">
        <v>1</v>
      </c>
      <c r="E4" s="26">
        <v>1</v>
      </c>
      <c r="F4" s="26">
        <v>1</v>
      </c>
    </row>
    <row r="5" spans="1:6" ht="15.6" x14ac:dyDescent="0.3">
      <c r="A5" s="24" t="s">
        <v>9</v>
      </c>
      <c r="B5" s="26">
        <v>1.881</v>
      </c>
      <c r="C5" s="26">
        <v>1.92</v>
      </c>
      <c r="D5" s="26">
        <v>0.53125</v>
      </c>
      <c r="E5" s="26">
        <v>0.10166666666666667</v>
      </c>
      <c r="F5" s="26">
        <v>2</v>
      </c>
    </row>
    <row r="6" spans="1:6" ht="15.6" x14ac:dyDescent="0.3">
      <c r="A6" s="24" t="s">
        <v>10</v>
      </c>
      <c r="B6" s="26">
        <v>11.86</v>
      </c>
      <c r="C6" s="26">
        <v>5.1866666666666665</v>
      </c>
      <c r="D6" s="26">
        <v>11.140624999999998</v>
      </c>
      <c r="E6" s="26">
        <v>317.83333333333331</v>
      </c>
      <c r="F6" s="26">
        <v>16</v>
      </c>
    </row>
    <row r="7" spans="1:6" ht="15.6" x14ac:dyDescent="0.3">
      <c r="A7" s="24" t="s">
        <v>11</v>
      </c>
      <c r="B7" s="26">
        <v>29.46</v>
      </c>
      <c r="C7" s="26">
        <v>9.5066666666666659</v>
      </c>
      <c r="D7" s="26">
        <v>9.390625</v>
      </c>
      <c r="E7" s="26">
        <v>95.15</v>
      </c>
      <c r="F7" s="26">
        <v>17</v>
      </c>
    </row>
    <row r="8" spans="1:6" ht="15.6" x14ac:dyDescent="0.3">
      <c r="A8" s="24" t="s">
        <v>12</v>
      </c>
      <c r="B8" s="26">
        <v>84.01</v>
      </c>
      <c r="C8" s="26">
        <v>19.126666666666665</v>
      </c>
      <c r="D8" s="26">
        <v>3.828125</v>
      </c>
      <c r="E8" s="26">
        <v>14.54</v>
      </c>
      <c r="F8" s="26">
        <v>14</v>
      </c>
    </row>
    <row r="9" spans="1:6" ht="15.6" x14ac:dyDescent="0.3">
      <c r="A9" s="24" t="s">
        <v>13</v>
      </c>
      <c r="B9" s="26">
        <v>164.8</v>
      </c>
      <c r="C9" s="26">
        <v>29.973333333333333</v>
      </c>
      <c r="D9" s="26">
        <v>3.921875</v>
      </c>
      <c r="E9" s="26">
        <v>17.233333333333334</v>
      </c>
      <c r="F9" s="26">
        <v>2</v>
      </c>
    </row>
    <row r="10" spans="1:6" ht="15.6" x14ac:dyDescent="0.3">
      <c r="A10" s="24" t="s">
        <v>14</v>
      </c>
      <c r="B10" s="26">
        <v>247.7</v>
      </c>
      <c r="C10" s="26">
        <v>39.333333333333336</v>
      </c>
      <c r="D10" s="26">
        <v>0.21874999999999997</v>
      </c>
      <c r="E10" s="26">
        <v>1.6666666666666666E-2</v>
      </c>
      <c r="F10" s="26">
        <v>1</v>
      </c>
    </row>
    <row r="12" spans="1:6" ht="18" x14ac:dyDescent="0.3">
      <c r="A12" s="27" t="s">
        <v>25</v>
      </c>
      <c r="B12" s="27"/>
      <c r="C12" s="27"/>
      <c r="D12" s="27"/>
    </row>
    <row r="13" spans="1:6" ht="78" x14ac:dyDescent="0.3">
      <c r="B13" s="25" t="s">
        <v>1</v>
      </c>
      <c r="C13" s="25" t="s">
        <v>1</v>
      </c>
      <c r="D13" s="25" t="s">
        <v>21</v>
      </c>
    </row>
    <row r="14" spans="1:6" x14ac:dyDescent="0.3">
      <c r="B14" t="s">
        <v>15</v>
      </c>
      <c r="C14" t="s">
        <v>26</v>
      </c>
      <c r="D14" t="s">
        <v>27</v>
      </c>
    </row>
    <row r="15" spans="1:6" ht="62.4" x14ac:dyDescent="0.3">
      <c r="A15" s="24" t="s">
        <v>0</v>
      </c>
      <c r="B15" s="25" t="s">
        <v>1</v>
      </c>
      <c r="C15" s="25" t="s">
        <v>22</v>
      </c>
      <c r="D15" s="25" t="s">
        <v>23</v>
      </c>
      <c r="E15" s="25" t="s">
        <v>24</v>
      </c>
      <c r="F15" s="25" t="s">
        <v>21</v>
      </c>
    </row>
    <row r="16" spans="1:6" ht="15.6" x14ac:dyDescent="0.3">
      <c r="A16" s="24" t="s">
        <v>12</v>
      </c>
      <c r="B16" s="26">
        <v>84.01</v>
      </c>
      <c r="C16" s="26">
        <v>19.126666666666665</v>
      </c>
      <c r="D16" s="26">
        <v>3.828125</v>
      </c>
      <c r="E16" s="26">
        <v>14.54</v>
      </c>
      <c r="F16" s="26">
        <v>14</v>
      </c>
    </row>
    <row r="18" spans="1:13" ht="18" x14ac:dyDescent="0.35">
      <c r="A18" s="35" t="s">
        <v>28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</row>
    <row r="19" spans="1:13" ht="15.6" x14ac:dyDescent="0.3">
      <c r="B19" s="25" t="s">
        <v>20</v>
      </c>
      <c r="C19" s="25" t="s">
        <v>24</v>
      </c>
    </row>
    <row r="20" spans="1:13" x14ac:dyDescent="0.3">
      <c r="B20" t="s">
        <v>29</v>
      </c>
    </row>
    <row r="21" spans="1:13" x14ac:dyDescent="0.3">
      <c r="C21" t="s">
        <v>16</v>
      </c>
    </row>
    <row r="22" spans="1:13" ht="62.4" x14ac:dyDescent="0.3">
      <c r="A22" s="24" t="s">
        <v>0</v>
      </c>
      <c r="B22" s="25" t="s">
        <v>1</v>
      </c>
      <c r="C22" s="25" t="s">
        <v>22</v>
      </c>
      <c r="D22" s="25" t="s">
        <v>23</v>
      </c>
      <c r="E22" s="25" t="s">
        <v>24</v>
      </c>
      <c r="F22" s="25" t="s">
        <v>21</v>
      </c>
    </row>
    <row r="23" spans="1:13" ht="15.6" x14ac:dyDescent="0.3">
      <c r="A23" s="24" t="s">
        <v>10</v>
      </c>
      <c r="B23" s="26">
        <v>11.86</v>
      </c>
      <c r="C23" s="26">
        <v>5.1866666666666665</v>
      </c>
      <c r="D23" s="26">
        <v>11.140624999999998</v>
      </c>
      <c r="E23" s="26">
        <v>317.83333333333331</v>
      </c>
      <c r="F23" s="26">
        <v>16</v>
      </c>
    </row>
    <row r="25" spans="1:13" ht="18" x14ac:dyDescent="0.3">
      <c r="A25" s="27" t="s">
        <v>30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</row>
    <row r="27" spans="1:13" ht="43.2" x14ac:dyDescent="0.3">
      <c r="B27" s="28" t="s">
        <v>21</v>
      </c>
      <c r="C27" s="28" t="s">
        <v>22</v>
      </c>
    </row>
    <row r="28" spans="1:13" x14ac:dyDescent="0.3">
      <c r="B28" s="32">
        <v>0</v>
      </c>
      <c r="C28" s="32" t="s">
        <v>17</v>
      </c>
    </row>
    <row r="29" spans="1:13" x14ac:dyDescent="0.3">
      <c r="B29" s="32" t="s">
        <v>18</v>
      </c>
      <c r="C29" s="32" t="s">
        <v>15</v>
      </c>
    </row>
    <row r="31" spans="1:13" ht="62.4" x14ac:dyDescent="0.3">
      <c r="A31" s="24" t="s">
        <v>0</v>
      </c>
      <c r="B31" s="25" t="s">
        <v>1</v>
      </c>
      <c r="C31" s="25" t="s">
        <v>22</v>
      </c>
      <c r="D31" s="25" t="s">
        <v>23</v>
      </c>
      <c r="E31" s="25" t="s">
        <v>24</v>
      </c>
      <c r="F31" s="25" t="s">
        <v>21</v>
      </c>
    </row>
    <row r="32" spans="1:13" ht="15.6" x14ac:dyDescent="0.3">
      <c r="A32" s="24" t="s">
        <v>6</v>
      </c>
      <c r="B32" s="26">
        <v>0.24099999999999999</v>
      </c>
      <c r="C32" s="26">
        <v>0.38666666666666666</v>
      </c>
      <c r="D32" s="26">
        <v>0.3828125</v>
      </c>
      <c r="E32" s="26">
        <v>5.3333333333333337E-2</v>
      </c>
      <c r="F32" s="26">
        <v>0</v>
      </c>
    </row>
    <row r="33" spans="1:6" ht="15.6" x14ac:dyDescent="0.3">
      <c r="A33" s="24" t="s">
        <v>12</v>
      </c>
      <c r="B33" s="26">
        <v>84.01</v>
      </c>
      <c r="C33" s="26">
        <v>19.126666666666665</v>
      </c>
      <c r="D33" s="26">
        <v>3.828125</v>
      </c>
      <c r="E33" s="26">
        <v>14.54</v>
      </c>
      <c r="F33" s="26">
        <v>14</v>
      </c>
    </row>
  </sheetData>
  <mergeCells count="1">
    <mergeCell ref="A18:K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4</vt:i4>
      </vt:variant>
    </vt:vector>
  </HeadingPairs>
  <TitlesOfParts>
    <vt:vector size="13" baseType="lpstr">
      <vt:lpstr>исходная таблица</vt:lpstr>
      <vt:lpstr>Спутники</vt:lpstr>
      <vt:lpstr>Алфавит</vt:lpstr>
      <vt:lpstr>Масса</vt:lpstr>
      <vt:lpstr>2ex</vt:lpstr>
      <vt:lpstr>3_1</vt:lpstr>
      <vt:lpstr>3_2</vt:lpstr>
      <vt:lpstr>3_3</vt:lpstr>
      <vt:lpstr>4</vt:lpstr>
      <vt:lpstr>'4'!Извлечь</vt:lpstr>
      <vt:lpstr>'исходная таблица'!Извлечь</vt:lpstr>
      <vt:lpstr>'4'!Критерии</vt:lpstr>
      <vt:lpstr>'исходная таблица'!Критерии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swirth</cp:lastModifiedBy>
  <dcterms:created xsi:type="dcterms:W3CDTF">2024-10-29T10:27:00Z</dcterms:created>
  <dcterms:modified xsi:type="dcterms:W3CDTF">2025-01-11T16:52:13Z</dcterms:modified>
</cp:coreProperties>
</file>