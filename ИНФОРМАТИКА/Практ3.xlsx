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ИНФОРМАТИКА\"/>
    </mc:Choice>
  </mc:AlternateContent>
  <xr:revisionPtr revIDLastSave="0" documentId="13_ncr:1_{A8CEA923-B8C2-4230-876C-E6F04FB66EC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Задание 1" sheetId="1" r:id="rId1"/>
    <sheet name="Задание 2" sheetId="2" r:id="rId2"/>
    <sheet name="Задание 3" sheetId="4" r:id="rId3"/>
    <sheet name="Задание 4" sheetId="5" r:id="rId4"/>
    <sheet name="Задание 5" sheetId="6" r:id="rId5"/>
  </sheets>
  <definedNames>
    <definedName name="solver_adj" localSheetId="4" hidden="1">'Задание 5'!$B$6:$B$7</definedName>
    <definedName name="solver_cvg" localSheetId="4" hidden="1">0.0001</definedName>
    <definedName name="solver_drv" localSheetId="4" hidden="1">1</definedName>
    <definedName name="solver_eng" localSheetId="0" hidden="1">1</definedName>
    <definedName name="solver_eng" localSheetId="1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0" hidden="1">'Задание 1'!$F$12</definedName>
    <definedName name="solver_lhs1" localSheetId="4" hidden="1">'Задание 5'!$B$9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4" hidden="1">1</definedName>
    <definedName name="solver_nod" localSheetId="4" hidden="1">2147483647</definedName>
    <definedName name="solver_num" localSheetId="0" hidden="1">1</definedName>
    <definedName name="solver_num" localSheetId="1" hidden="1">0</definedName>
    <definedName name="solver_num" localSheetId="4" hidden="1">1</definedName>
    <definedName name="solver_nwt" localSheetId="4" hidden="1">1</definedName>
    <definedName name="solver_opt" localSheetId="0" hidden="1">'Задание 1'!$F$12</definedName>
    <definedName name="solver_opt" localSheetId="1" hidden="1">'Задание 2'!$L$16</definedName>
    <definedName name="solver_opt" localSheetId="4" hidden="1">'Задание 5'!$B$8</definedName>
    <definedName name="solver_pre" localSheetId="4" hidden="1">0.000001</definedName>
    <definedName name="solver_rbv" localSheetId="4" hidden="1">1</definedName>
    <definedName name="solver_rel1" localSheetId="0" hidden="1">2</definedName>
    <definedName name="solver_rel1" localSheetId="4" hidden="1">2</definedName>
    <definedName name="solver_rhs1" localSheetId="0" hidden="1">1000</definedName>
    <definedName name="solver_rhs1" localSheetId="4" hidden="1">0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0" hidden="1">1</definedName>
    <definedName name="solver_typ" localSheetId="1" hidden="1">1</definedName>
    <definedName name="solver_typ" localSheetId="4" hidden="1">3</definedName>
    <definedName name="solver_val" localSheetId="0" hidden="1">0</definedName>
    <definedName name="solver_val" localSheetId="1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6" l="1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E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E15" i="6"/>
  <c r="F15" i="6"/>
  <c r="G15" i="6"/>
  <c r="H15" i="6"/>
  <c r="I15" i="6"/>
  <c r="E16" i="6"/>
  <c r="F16" i="6"/>
  <c r="G16" i="6"/>
  <c r="H16" i="6"/>
  <c r="I16" i="6"/>
  <c r="E17" i="6"/>
  <c r="F17" i="6"/>
  <c r="G17" i="6"/>
  <c r="H17" i="6"/>
  <c r="I17" i="6"/>
  <c r="E18" i="6"/>
  <c r="F18" i="6"/>
  <c r="G18" i="6"/>
  <c r="H18" i="6"/>
  <c r="I18" i="6"/>
  <c r="E19" i="6"/>
  <c r="F19" i="6"/>
  <c r="G19" i="6"/>
  <c r="H19" i="6"/>
  <c r="I19" i="6"/>
  <c r="E20" i="6"/>
  <c r="F20" i="6"/>
  <c r="G20" i="6"/>
  <c r="H20" i="6"/>
  <c r="I20" i="6"/>
  <c r="E21" i="6"/>
  <c r="F21" i="6"/>
  <c r="G21" i="6"/>
  <c r="H21" i="6"/>
  <c r="I21" i="6"/>
  <c r="E22" i="6"/>
  <c r="F22" i="6"/>
  <c r="G22" i="6"/>
  <c r="H22" i="6"/>
  <c r="I22" i="6"/>
  <c r="E23" i="6"/>
  <c r="F23" i="6"/>
  <c r="G23" i="6"/>
  <c r="H23" i="6"/>
  <c r="I23" i="6"/>
  <c r="E24" i="6"/>
  <c r="F24" i="6"/>
  <c r="G24" i="6"/>
  <c r="H24" i="6"/>
  <c r="I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8" i="6"/>
  <c r="F28" i="6"/>
  <c r="G28" i="6"/>
  <c r="H28" i="6"/>
  <c r="I28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C4" i="4"/>
  <c r="I11" i="1" l="1"/>
  <c r="E40" i="5"/>
  <c r="F39" i="5"/>
  <c r="A30" i="5" a="1"/>
  <c r="D30" i="5" s="1"/>
  <c r="B4" i="2"/>
  <c r="C4" i="2" l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30" i="5"/>
  <c r="C30" i="5"/>
  <c r="A30" i="5"/>
  <c r="B9" i="6"/>
  <c r="B8" i="6"/>
  <c r="A32" i="5" l="1" a="1"/>
  <c r="A31" i="5" a="1"/>
  <c r="A34" i="5" a="1"/>
  <c r="C5" i="2"/>
  <c r="D34" i="5" l="1"/>
  <c r="C34" i="5"/>
  <c r="B34" i="5"/>
  <c r="A34" i="5"/>
  <c r="A38" i="5" s="1" a="1"/>
  <c r="B31" i="5"/>
  <c r="A31" i="5"/>
  <c r="D31" i="5"/>
  <c r="C31" i="5"/>
  <c r="A32" i="5"/>
  <c r="B32" i="5"/>
  <c r="C32" i="5"/>
  <c r="D32" i="5"/>
  <c r="C6" i="2"/>
  <c r="A35" i="5" l="1" a="1"/>
  <c r="D38" i="5"/>
  <c r="A38" i="5"/>
  <c r="C38" i="5"/>
  <c r="B38" i="5"/>
  <c r="C7" i="2"/>
  <c r="C35" i="5" l="1"/>
  <c r="B35" i="5"/>
  <c r="D35" i="5"/>
  <c r="A35" i="5"/>
  <c r="C8" i="2"/>
  <c r="A39" i="5" l="1" a="1"/>
  <c r="A36" i="5" a="1"/>
  <c r="C9" i="2"/>
  <c r="D36" i="5" l="1"/>
  <c r="C36" i="5"/>
  <c r="B36" i="5"/>
  <c r="A36" i="5"/>
  <c r="A40" i="5" s="1" a="1"/>
  <c r="D39" i="5"/>
  <c r="C39" i="5"/>
  <c r="A39" i="5"/>
  <c r="B39" i="5"/>
  <c r="C10" i="2"/>
  <c r="E39" i="5" l="1"/>
  <c r="D40" i="5"/>
  <c r="E38" i="5" s="1"/>
  <c r="C40" i="5"/>
  <c r="B40" i="5"/>
  <c r="A40" i="5"/>
  <c r="C11" i="2"/>
  <c r="F3" i="4"/>
  <c r="C12" i="2" l="1"/>
  <c r="C13" i="2" l="1"/>
  <c r="K19" i="1"/>
  <c r="L19" i="1"/>
  <c r="F12" i="1"/>
  <c r="G12" i="1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C14" i="2" l="1"/>
  <c r="B24" i="5"/>
  <c r="E3" i="4"/>
  <c r="F4" i="2"/>
  <c r="F5" i="2" s="1"/>
  <c r="F6" i="2" s="1"/>
  <c r="F7" i="2" s="1"/>
  <c r="E4" i="4" l="1"/>
  <c r="C5" i="4" s="1"/>
  <c r="D4" i="4"/>
  <c r="G7" i="2"/>
  <c r="F8" i="2"/>
  <c r="C15" i="2"/>
  <c r="G4" i="2"/>
  <c r="E18" i="5"/>
  <c r="E17" i="5"/>
  <c r="C21" i="5" a="1"/>
  <c r="F8" i="5" a="1"/>
  <c r="G8" i="2" l="1"/>
  <c r="F9" i="2"/>
  <c r="C16" i="2"/>
  <c r="D5" i="4"/>
  <c r="G21" i="5" a="1"/>
  <c r="B21" i="5" a="1"/>
  <c r="E16" i="5"/>
  <c r="H10" i="5"/>
  <c r="F8" i="5"/>
  <c r="F10" i="5"/>
  <c r="G9" i="5"/>
  <c r="G10" i="5"/>
  <c r="H9" i="5"/>
  <c r="H8" i="5"/>
  <c r="G8" i="5"/>
  <c r="F9" i="5"/>
  <c r="A21" i="5" a="1"/>
  <c r="E21" i="5" a="1"/>
  <c r="A16" i="5" a="1"/>
  <c r="F16" i="5" a="1"/>
  <c r="C23" i="5"/>
  <c r="C21" i="5"/>
  <c r="C22" i="5"/>
  <c r="F4" i="4"/>
  <c r="G5" i="2"/>
  <c r="G6" i="2"/>
  <c r="G9" i="2" l="1"/>
  <c r="C17" i="2"/>
  <c r="K8" i="5" a="1"/>
  <c r="F23" i="5"/>
  <c r="E23" i="5"/>
  <c r="F22" i="5"/>
  <c r="E22" i="5"/>
  <c r="E21" i="5"/>
  <c r="F21" i="5"/>
  <c r="C18" i="5"/>
  <c r="C17" i="5"/>
  <c r="B18" i="5"/>
  <c r="A18" i="5"/>
  <c r="A17" i="5"/>
  <c r="B16" i="5"/>
  <c r="A16" i="5"/>
  <c r="B17" i="5"/>
  <c r="C16" i="5"/>
  <c r="A23" i="5"/>
  <c r="A22" i="5"/>
  <c r="A21" i="5"/>
  <c r="B22" i="5"/>
  <c r="B21" i="5"/>
  <c r="B23" i="5"/>
  <c r="F17" i="5"/>
  <c r="G16" i="5"/>
  <c r="F16" i="5"/>
  <c r="G18" i="5"/>
  <c r="G17" i="5"/>
  <c r="F18" i="5"/>
  <c r="G23" i="5"/>
  <c r="G22" i="5"/>
  <c r="G21" i="5"/>
  <c r="C18" i="2" l="1"/>
  <c r="F19" i="5" a="1"/>
  <c r="F24" i="5" a="1"/>
  <c r="F24" i="5" s="1"/>
  <c r="F19" i="5"/>
  <c r="B19" i="5" a="1"/>
  <c r="B19" i="5" s="1"/>
  <c r="K9" i="5"/>
  <c r="K8" i="5"/>
  <c r="K10" i="5"/>
  <c r="F5" i="4"/>
  <c r="E5" i="4"/>
  <c r="C6" i="4" s="1"/>
  <c r="C19" i="2" l="1"/>
  <c r="D6" i="4"/>
  <c r="J16" i="5"/>
  <c r="J17" i="5"/>
  <c r="J18" i="5"/>
  <c r="C20" i="2" l="1"/>
  <c r="F6" i="4"/>
  <c r="E6" i="4"/>
  <c r="C7" i="4" s="1"/>
  <c r="C21" i="2" l="1"/>
  <c r="D7" i="4"/>
  <c r="C23" i="2" l="1"/>
  <c r="C22" i="2"/>
  <c r="E7" i="4"/>
  <c r="C8" i="4" s="1"/>
  <c r="F7" i="4"/>
  <c r="D8" i="4" l="1"/>
  <c r="E8" i="4" l="1"/>
  <c r="C9" i="4" s="1"/>
  <c r="F8" i="4"/>
  <c r="D9" i="4" l="1"/>
  <c r="E9" i="4" s="1"/>
  <c r="C10" i="4" s="1"/>
  <c r="D10" i="4" l="1"/>
  <c r="E10" i="4" s="1"/>
  <c r="C11" i="4" s="1"/>
  <c r="F9" i="4"/>
  <c r="D11" i="4" l="1"/>
  <c r="F10" i="4"/>
  <c r="E11" i="4" l="1"/>
  <c r="C12" i="4" s="1"/>
  <c r="F11" i="4"/>
  <c r="D12" i="4" l="1"/>
  <c r="E12" i="4" l="1"/>
  <c r="C13" i="4" s="1"/>
  <c r="F12" i="4"/>
  <c r="D13" i="4" l="1"/>
  <c r="E13" i="4" l="1"/>
  <c r="C14" i="4" s="1"/>
  <c r="F13" i="4"/>
  <c r="D14" i="4" l="1"/>
  <c r="E14" i="4" l="1"/>
  <c r="C15" i="4" s="1"/>
  <c r="F14" i="4"/>
  <c r="D15" i="4" l="1"/>
  <c r="E15" i="4" s="1"/>
  <c r="C16" i="4" s="1"/>
  <c r="F15" i="4"/>
  <c r="D16" i="4" l="1"/>
  <c r="F16" i="4"/>
  <c r="E16" i="4"/>
  <c r="C17" i="4" s="1"/>
  <c r="D17" i="4" l="1"/>
  <c r="F17" i="4"/>
  <c r="E17" i="4" l="1"/>
  <c r="D18" i="1" l="1"/>
  <c r="E18" i="1" s="1"/>
  <c r="F18" i="1" s="1"/>
  <c r="G18" i="1" s="1"/>
  <c r="H18" i="1" s="1"/>
  <c r="I18" i="1" s="1"/>
  <c r="J18" i="1" s="1"/>
  <c r="C18" i="1"/>
  <c r="B18" i="1"/>
  <c r="C12" i="1" l="1"/>
  <c r="D12" i="1"/>
  <c r="E12" i="1"/>
  <c r="B12" i="1"/>
  <c r="H11" i="1"/>
  <c r="D11" i="1"/>
  <c r="E11" i="1" s="1"/>
  <c r="C11" i="1"/>
  <c r="B11" i="1"/>
  <c r="B14" i="1"/>
  <c r="B15" i="1"/>
  <c r="B16" i="1" s="1"/>
  <c r="B8" i="1" a="1"/>
  <c r="B8" i="1" s="1"/>
  <c r="B7" i="1" a="1"/>
  <c r="B7" i="1" s="1"/>
  <c r="J11" i="1" l="1"/>
  <c r="K11" i="1" s="1"/>
  <c r="L11" i="1" s="1"/>
  <c r="L12" i="1" s="1"/>
  <c r="H12" i="1"/>
  <c r="B19" i="1"/>
  <c r="B9" i="1"/>
  <c r="J12" i="1" l="1"/>
  <c r="I12" i="1"/>
  <c r="K12" i="1"/>
  <c r="C19" i="1"/>
  <c r="D19" i="1" l="1"/>
  <c r="E19" i="1" l="1"/>
  <c r="F19" i="1" l="1"/>
  <c r="G19" i="1" l="1"/>
  <c r="H19" i="1" l="1"/>
  <c r="I19" i="1" l="1"/>
  <c r="J1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<sst xmlns="http://schemas.openxmlformats.org/spreadsheetml/2006/main" count="57" uniqueCount="43">
  <si>
    <t>Вариант 11</t>
  </si>
  <si>
    <t>Таблица коэффициентов полинома</t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</si>
  <si>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</si>
  <si>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n-1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</si>
  <si>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n-2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</si>
  <si>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n-3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</si>
  <si>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</si>
  <si>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 xml:space="preserve">A = </t>
  </si>
  <si>
    <t xml:space="preserve">B = </t>
  </si>
  <si>
    <t xml:space="preserve">h = </t>
  </si>
  <si>
    <t>x([A,B])</t>
  </si>
  <si>
    <t>P(x)</t>
  </si>
  <si>
    <t>x([-B,-A])</t>
  </si>
  <si>
    <t>Метод итераций</t>
  </si>
  <si>
    <t>Метод Ньютона</t>
  </si>
  <si>
    <t>Номер шага</t>
  </si>
  <si>
    <t>Очередное приближение к корню</t>
  </si>
  <si>
    <t>Проверка на точность</t>
  </si>
  <si>
    <t>Формула</t>
  </si>
  <si>
    <t>f(x)=0</t>
  </si>
  <si>
    <t>x=F(x)</t>
  </si>
  <si>
    <t>x^2 + 4sin(x) = 0</t>
  </si>
  <si>
    <t>Метод бисекции</t>
  </si>
  <si>
    <t>A</t>
  </si>
  <si>
    <t>B</t>
  </si>
  <si>
    <t>C</t>
  </si>
  <si>
    <t>x^2 + 4*sin(x) = 0</t>
  </si>
  <si>
    <t>Решение СЛАУ с помощью обратной матрицы</t>
  </si>
  <si>
    <t>x1=</t>
  </si>
  <si>
    <t>x2=</t>
  </si>
  <si>
    <t>x3=</t>
  </si>
  <si>
    <t>Решение СЛАУ методом Крамера</t>
  </si>
  <si>
    <t>D=</t>
  </si>
  <si>
    <t>d1=</t>
  </si>
  <si>
    <t>d2=</t>
  </si>
  <si>
    <t>d3=</t>
  </si>
  <si>
    <t>Решение СЛАУ методом Гаусса</t>
  </si>
  <si>
    <t>x</t>
  </si>
  <si>
    <t>y</t>
  </si>
  <si>
    <t>Определитель ∆</t>
  </si>
  <si>
    <t>¯</t>
  </si>
  <si>
    <r>
      <t xml:space="preserve">x </t>
    </r>
    <r>
      <rPr>
        <sz val="11"/>
        <color theme="1"/>
        <rFont val="Symbol"/>
        <family val="1"/>
        <charset val="2"/>
      </rPr>
      <t>®</t>
    </r>
  </si>
  <si>
    <t>x=-(-4*sin(x))^1/2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</si>
</sst>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Symbol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5" xfId="0" applyBorder="1"/>
    <xf numFmtId="0" fontId="0" fillId="0" borderId="8" xfId="0" applyBorder="1"/>
    <xf numFmtId="0" fontId="0" fillId="0" borderId="18" xfId="0" applyBorder="1"/>
    <xf numFmtId="0" fontId="0" fillId="0" borderId="19" xfId="0" applyBorder="1"/>
    <xf numFmtId="2" fontId="0" fillId="0" borderId="10" xfId="0" applyNumberFormat="1" applyBorder="1"/>
    <xf numFmtId="0" fontId="0" fillId="0" borderId="1" xfId="0" applyBorder="1" applyAlignment="1">
      <alignment horizontal="right"/>
    </xf>
    <xf numFmtId="0" fontId="0" fillId="0" borderId="20" xfId="0" applyBorder="1"/>
    <xf numFmtId="0" fontId="0" fillId="0" borderId="10" xfId="0" applyBorder="1" applyAlignment="1">
      <alignment horizontal="right"/>
    </xf>
    <xf numFmtId="0" fontId="0" fillId="0" borderId="22" xfId="0" applyBorder="1"/>
    <xf numFmtId="0" fontId="0" fillId="0" borderId="21" xfId="0" applyBorder="1"/>
    <xf numFmtId="0" fontId="0" fillId="0" borderId="21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23" xfId="0" applyBorder="1" applyAlignment="1">
      <alignment horizontal="right"/>
    </xf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right"/>
    </xf>
    <xf numFmtId="0" fontId="0" fillId="0" borderId="24" xfId="0" applyBorder="1"/>
    <xf numFmtId="164" fontId="0" fillId="0" borderId="1" xfId="0" applyNumberFormat="1" applyBorder="1"/>
    <xf numFmtId="2" fontId="0" fillId="4" borderId="1" xfId="0" applyNumberFormat="1" applyFill="1" applyBorder="1"/>
    <xf numFmtId="0" fontId="0" fillId="4" borderId="1" xfId="0" applyFill="1" applyBorder="1"/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0" borderId="0" xfId="0" applyFill="1"/>
    <xf numFmtId="0" fontId="0" fillId="6" borderId="1" xfId="0" applyFill="1" applyBorder="1" applyAlignment="1">
      <alignment horizontal="center" vertical="center" wrapText="1"/>
    </xf>
    <xf numFmtId="164" fontId="0" fillId="0" borderId="16" xfId="0" applyNumberFormat="1" applyBorder="1"/>
    <xf numFmtId="0" fontId="0" fillId="0" borderId="0" xfId="0" applyBorder="1"/>
    <xf numFmtId="0" fontId="0" fillId="0" borderId="16" xfId="0" applyBorder="1"/>
    <xf numFmtId="0" fontId="0" fillId="0" borderId="26" xfId="0" applyBorder="1"/>
    <xf numFmtId="0" fontId="0" fillId="7" borderId="1" xfId="0" applyFill="1" applyBorder="1"/>
    <xf numFmtId="0" fontId="0" fillId="7" borderId="10" xfId="0" applyFill="1" applyBorder="1"/>
    <xf numFmtId="0" fontId="0" fillId="7" borderId="1" xfId="0" applyFill="1" applyBorder="1" applyAlignment="1">
      <alignment horizontal="left"/>
    </xf>
    <xf numFmtId="0" fontId="0" fillId="7" borderId="9" xfId="0" applyFill="1" applyBorder="1" applyAlignment="1">
      <alignment horizontal="left"/>
    </xf>
    <xf numFmtId="0" fontId="0" fillId="7" borderId="11" xfId="0" applyFill="1" applyBorder="1" applyAlignment="1">
      <alignment horizontal="left"/>
    </xf>
    <xf numFmtId="0" fontId="0" fillId="7" borderId="0" xfId="0" applyFill="1"/>
    <xf numFmtId="0" fontId="5" fillId="7" borderId="0" xfId="0" applyFont="1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Решение методом итераций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'Задание 2'!$B$4:$B$23</c:f>
              <c:numCache>
                <c:formatCode>General</c:formatCode>
                <c:ptCount val="20"/>
                <c:pt idx="0">
                  <c:v>-1.5666538192549668</c:v>
                </c:pt>
                <c:pt idx="1">
                  <c:v>-1.9999828396558215</c:v>
                </c:pt>
                <c:pt idx="2">
                  <c:v>-1.8186091358294831</c:v>
                </c:pt>
                <c:pt idx="3">
                  <c:v>-1.9389024468818175</c:v>
                </c:pt>
                <c:pt idx="4">
                  <c:v>-1.8660210587458488</c:v>
                </c:pt>
                <c:pt idx="5">
                  <c:v>-1.9134735592528866</c:v>
                </c:pt>
                <c:pt idx="6">
                  <c:v>-1.883716930995567</c:v>
                </c:pt>
                <c:pt idx="7">
                  <c:v>-1.90287710790273</c:v>
                </c:pt>
                <c:pt idx="8">
                  <c:v>-1.89073206677589</c:v>
                </c:pt>
                <c:pt idx="9">
                  <c:v>-1.8985112603514567</c:v>
                </c:pt>
                <c:pt idx="10">
                  <c:v>-1.893560665683776</c:v>
                </c:pt>
                <c:pt idx="11">
                  <c:v>-1.8967244475827398</c:v>
                </c:pt>
                <c:pt idx="12">
                  <c:v>-1.8947079223568917</c:v>
                </c:pt>
                <c:pt idx="13">
                  <c:v>-1.8959954042817468</c:v>
                </c:pt>
                <c:pt idx="14">
                  <c:v>-1.8951742808920886</c:v>
                </c:pt>
                <c:pt idx="15">
                  <c:v>-1.8956983355629511</c:v>
                </c:pt>
                <c:pt idx="16">
                  <c:v>-1.8953640226525166</c:v>
                </c:pt>
                <c:pt idx="17">
                  <c:v>-1.8955773527392041</c:v>
                </c:pt>
                <c:pt idx="18">
                  <c:v>-1.8954412480687204</c:v>
                </c:pt>
                <c:pt idx="19">
                  <c:v>-1.8955280928580875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1-48F1-BBCE-902307A75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291727"/>
        <c:axId val="1782295055"/>
      </c:scatterChart>
      <c:valAx>
        <c:axId val="1782291727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2295055"/>
        <c:crosses val="autoZero"/>
        <c:crossBetween val="midCat"/>
      </c:valAx>
      <c:valAx>
        <c:axId val="178229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229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Решение методом</a:t>
            </a:r>
            <a:r>
              <a:rPr lang="ru-RU" baseline="0"/>
              <a:t> Ньютона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'Задание 2'!$E$3:$E$9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'Задание 2'!$F$3:$F$9</c:f>
              <c:numCache>
                <c:formatCode>General</c:formatCode>
                <c:ptCount val="7"/>
                <c:pt idx="0">
                  <c:v>-0.9</c:v>
                </c:pt>
                <c:pt idx="1">
                  <c:v>2.4845755901044124</c:v>
                </c:pt>
                <c:pt idx="2">
                  <c:v>-2.2971760858523296</c:v>
                </c:pt>
                <c:pt idx="3">
                  <c:v>-1.9818160070932964</c:v>
                </c:pt>
                <c:pt idx="4">
                  <c:v>-1.9349357367348998</c:v>
                </c:pt>
                <c:pt idx="5">
                  <c:v>-1.9337545199156201</c:v>
                </c:pt>
                <c:pt idx="6">
                  <c:v>-1.9337537628273322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D-4F51-A6E8-F9F8D41E4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662767"/>
        <c:axId val="1395673583"/>
      </c:lineChart>
      <c:catAx>
        <c:axId val="139566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673583"/>
        <c:crosses val="autoZero"/>
        <c:auto val="1"/>
        <c:lblAlgn val="ctr"/>
        <c:lblOffset val="100"/>
        <c:noMultiLvlLbl val="0"/>
      </c:catAx>
      <c:valAx>
        <c:axId val="139567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66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Решение</a:t>
            </a:r>
            <a:r>
              <a:rPr lang="ru-RU" baseline="0"/>
              <a:t> уравнения методом бисекции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Граница 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'Задание 3'!$B$3:$B$17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'Задание 3'!$C$3:$C$17</c:f>
              <c:numCache>
                <c:formatCode>General</c:formatCode>
                <c:ptCount val="15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-1.875</c:v>
                </c:pt>
                <c:pt idx="5">
                  <c:v>-1.9375</c:v>
                </c:pt>
                <c:pt idx="6">
                  <c:v>-1.9375</c:v>
                </c:pt>
                <c:pt idx="7">
                  <c:v>-1.9375</c:v>
                </c:pt>
                <c:pt idx="8">
                  <c:v>-1.9375</c:v>
                </c:pt>
                <c:pt idx="9">
                  <c:v>-1.93359375</c:v>
                </c:pt>
                <c:pt idx="10">
                  <c:v>-1.93359375</c:v>
                </c:pt>
                <c:pt idx="11">
                  <c:v>-1.93359375</c:v>
                </c:pt>
                <c:pt idx="12">
                  <c:v>-1.93359375</c:v>
                </c:pt>
                <c:pt idx="13">
                  <c:v>-1.933837890625</c:v>
                </c:pt>
                <c:pt idx="14">
                  <c:v>-1.9337158203125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13-43F6-ACD2-546E5E5F321C}"/>
            </c:ext>
          </c:extLst>
        </c:ser>
        <c:ser>
          <c:idx val="1"/>
          <c:order val="1"/>
          <c:tx>
            <c:v>Граница 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'Задание 3'!$B$3:$B$17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'Задание 3'!$D$3:$D$17</c:f>
              <c:numCache>
                <c:formatCode>General</c:formatCode>
                <c:ptCount val="15"/>
                <c:pt idx="0">
                  <c:v>-1</c:v>
                </c:pt>
                <c:pt idx="1">
                  <c:v>-1.5</c:v>
                </c:pt>
                <c:pt idx="2">
                  <c:v>-1.75</c:v>
                </c:pt>
                <c:pt idx="3">
                  <c:v>-1.875</c:v>
                </c:pt>
                <c:pt idx="4">
                  <c:v>-1.9375</c:v>
                </c:pt>
                <c:pt idx="5">
                  <c:v>-1.90625</c:v>
                </c:pt>
                <c:pt idx="6">
                  <c:v>-1.921875</c:v>
                </c:pt>
                <c:pt idx="7">
                  <c:v>-1.9296875</c:v>
                </c:pt>
                <c:pt idx="8">
                  <c:v>-1.93359375</c:v>
                </c:pt>
                <c:pt idx="9">
                  <c:v>-1.935546875</c:v>
                </c:pt>
                <c:pt idx="10">
                  <c:v>-1.9345703125</c:v>
                </c:pt>
                <c:pt idx="11">
                  <c:v>-1.93408203125</c:v>
                </c:pt>
                <c:pt idx="12">
                  <c:v>-1.933837890625</c:v>
                </c:pt>
                <c:pt idx="13">
                  <c:v>-1.9337158203125</c:v>
                </c:pt>
                <c:pt idx="14">
                  <c:v>-1.93377685546875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13-43F6-ACD2-546E5E5F321C}"/>
            </c:ext>
          </c:extLst>
        </c:ser>
        <c:ser>
          <c:idx val="2"/>
          <c:order val="2"/>
          <c:tx>
            <c:v>Граница 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'Задание 3'!$B$3:$B$17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'Задание 3'!$E$3:$E$17</c:f>
              <c:numCache>
                <c:formatCode>General</c:formatCode>
                <c:ptCount val="15"/>
                <c:pt idx="0">
                  <c:v>-1.5</c:v>
                </c:pt>
                <c:pt idx="1">
                  <c:v>-1.75</c:v>
                </c:pt>
                <c:pt idx="2">
                  <c:v>-1.875</c:v>
                </c:pt>
                <c:pt idx="3">
                  <c:v>-1.9375</c:v>
                </c:pt>
                <c:pt idx="4">
                  <c:v>-1.90625</c:v>
                </c:pt>
                <c:pt idx="5">
                  <c:v>-1.921875</c:v>
                </c:pt>
                <c:pt idx="6">
                  <c:v>-1.9296875</c:v>
                </c:pt>
                <c:pt idx="7">
                  <c:v>-1.93359375</c:v>
                </c:pt>
                <c:pt idx="8">
                  <c:v>-1.935546875</c:v>
                </c:pt>
                <c:pt idx="9">
                  <c:v>-1.9345703125</c:v>
                </c:pt>
                <c:pt idx="10">
                  <c:v>-1.93408203125</c:v>
                </c:pt>
                <c:pt idx="11">
                  <c:v>-1.933837890625</c:v>
                </c:pt>
                <c:pt idx="12">
                  <c:v>-1.9337158203125</c:v>
                </c:pt>
                <c:pt idx="13">
                  <c:v>-1.93377685546875</c:v>
                </c:pt>
                <c:pt idx="14">
                  <c:v>-1.933746337890625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13-43F6-ACD2-546E5E5F3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855295"/>
        <c:axId val="633854463"/>
      </c:lineChart>
      <c:catAx>
        <c:axId val="63385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шага</a:t>
                </a:r>
              </a:p>
            </c:rich>
          </c:tx>
          <c:layout>
            <c:manualLayout>
              <c:xMode val="edge"/>
              <c:yMode val="edge"/>
              <c:x val="0.45290117275802955"/>
              <c:y val="0.818517884539794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854463"/>
        <c:crosses val="autoZero"/>
        <c:auto val="1"/>
        <c:lblAlgn val="ctr"/>
        <c:lblOffset val="100"/>
        <c:noMultiLvlLbl val="0"/>
      </c:catAx>
      <c:valAx>
        <c:axId val="633854463"/>
        <c:scaling>
          <c:orientation val="minMax"/>
          <c:max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85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Поверхностная диаграмма</a:t>
            </a:r>
          </a:p>
        </c:rich>
      </c:tx>
      <c:layout>
        <c:manualLayout>
          <c:xMode val="edge"/>
          <c:yMode val="edge"/>
          <c:x val="0.39760259774560819"/>
          <c:y val="2.2859308472583696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10"/>
      <c:rotY val="30"/>
      <c:rAngAx val="0"/>
      <c:perspective val="4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5'!$D$14</c:f>
              <c:strCache>
                <c:ptCount val="1"/>
                <c:pt idx="0">
                  <c:v>0,3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5'!$P$5:$T$5</c:f>
              <c:numCache>
                <c:formatCode>General</c:formatCode>
                <c:ptCount val="5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</c:numCache>
            </c:numRef>
          </c:cat>
          <c:val>
            <c:numRef>
              <c:f>'Задание 5'!$P$14:$T$14</c:f>
              <c:numCache>
                <c:formatCode>General</c:formatCode>
                <c:ptCount val="5"/>
                <c:pt idx="0">
                  <c:v>0.30774837571869962</c:v>
                </c:pt>
                <c:pt idx="1">
                  <c:v>0.20518875553308186</c:v>
                </c:pt>
                <c:pt idx="2">
                  <c:v>0.15484657499478824</c:v>
                </c:pt>
                <c:pt idx="3">
                  <c:v>0.18819951028719589</c:v>
                </c:pt>
                <c:pt idx="4">
                  <c:v>0.34126766833465155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F-4AF5-A071-2DD3118069DB}"/>
            </c:ext>
          </c:extLst>
        </c:ser>
        <c:ser>
          <c:idx val="1"/>
          <c:order val="1"/>
          <c:tx>
            <c:strRef>
              <c:f>'Задание 5'!$D$15</c:f>
              <c:strCache>
                <c:ptCount val="1"/>
                <c:pt idx="0">
                  <c:v>0,4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5'!$P$5:$T$5</c:f>
              <c:numCache>
                <c:formatCode>General</c:formatCode>
                <c:ptCount val="5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</c:numCache>
            </c:numRef>
          </c:cat>
          <c:val>
            <c:numRef>
              <c:f>'Задание 5'!$P$15:$T$15</c:f>
              <c:numCache>
                <c:formatCode>General</c:formatCode>
                <c:ptCount val="5"/>
                <c:pt idx="0">
                  <c:v>0.23043922669669681</c:v>
                </c:pt>
                <c:pt idx="1">
                  <c:v>0.1307060550345108</c:v>
                </c:pt>
                <c:pt idx="2">
                  <c:v>7.7414179850825077E-2</c:v>
                </c:pt>
                <c:pt idx="3">
                  <c:v>9.9842476848406372E-2</c:v>
                </c:pt>
                <c:pt idx="4">
                  <c:v>0.23144143072194387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F-4AF5-A071-2DD3118069DB}"/>
            </c:ext>
          </c:extLst>
        </c:ser>
        <c:ser>
          <c:idx val="2"/>
          <c:order val="2"/>
          <c:tx>
            <c:strRef>
              <c:f>'Задание 5'!$D$16</c:f>
              <c:strCache>
                <c:ptCount val="1"/>
                <c:pt idx="0">
                  <c:v>0,5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5'!$P$5:$T$5</c:f>
              <c:numCache>
                <c:formatCode>General</c:formatCode>
                <c:ptCount val="5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</c:numCache>
            </c:numRef>
          </c:cat>
          <c:val>
            <c:numRef>
              <c:f>'Задание 5'!$P$16:$T$16</c:f>
              <c:numCache>
                <c:formatCode>General</c:formatCode>
                <c:ptCount val="5"/>
                <c:pt idx="0">
                  <c:v>0.15604298831949864</c:v>
                </c:pt>
                <c:pt idx="1">
                  <c:v>6.7648232113590043E-2</c:v>
                </c:pt>
                <c:pt idx="2">
                  <c:v>2.0879223409472979E-2</c:v>
                </c:pt>
                <c:pt idx="3">
                  <c:v>4.2367557034310555E-2</c:v>
                </c:pt>
                <c:pt idx="4">
                  <c:v>0.16226955584457281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1F-4AF5-A071-2DD3118069DB}"/>
            </c:ext>
          </c:extLst>
        </c:ser>
        <c:ser>
          <c:idx val="3"/>
          <c:order val="3"/>
          <c:tx>
            <c:strRef>
              <c:f>'Задание 5'!$D$17</c:f>
              <c:strCache>
                <c:ptCount val="1"/>
                <c:pt idx="0">
                  <c:v>0,6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5'!$P$5:$T$5</c:f>
              <c:numCache>
                <c:formatCode>General</c:formatCode>
                <c:ptCount val="5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</c:numCache>
            </c:numRef>
          </c:cat>
          <c:val>
            <c:numRef>
              <c:f>'Задание 5'!$P$17:$T$17</c:f>
              <c:numCache>
                <c:formatCode>General</c:formatCode>
                <c:ptCount val="5"/>
                <c:pt idx="0">
                  <c:v>9.6746369056001064E-2</c:v>
                </c:pt>
                <c:pt idx="1">
                  <c:v>2.9316455814505357E-2</c:v>
                </c:pt>
                <c:pt idx="2">
                  <c:v>2.3008183783049431E-4</c:v>
                </c:pt>
                <c:pt idx="3">
                  <c:v>3.3184511209440756E-2</c:v>
                </c:pt>
                <c:pt idx="4">
                  <c:v>0.15447295493695831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21F-4AF5-A071-2DD3118069DB}"/>
            </c:ext>
          </c:extLst>
        </c:ser>
        <c:ser>
          <c:idx val="4"/>
          <c:order val="4"/>
          <c:tx>
            <c:strRef>
              <c:f>'Задание 5'!$D$18</c:f>
              <c:strCache>
                <c:ptCount val="1"/>
                <c:pt idx="0">
                  <c:v>0,7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5'!$P$5:$T$5</c:f>
              <c:numCache>
                <c:formatCode>General</c:formatCode>
                <c:ptCount val="5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</c:numCache>
            </c:numRef>
          </c:cat>
          <c:val>
            <c:numRef>
              <c:f>'Задание 5'!$P$18:$T$18</c:f>
              <c:numCache>
                <c:formatCode>General</c:formatCode>
                <c:ptCount val="5"/>
                <c:pt idx="0">
                  <c:v>6.7682531679939137E-2</c:v>
                </c:pt>
                <c:pt idx="1">
                  <c:v>3.2640229893874551E-2</c:v>
                </c:pt>
                <c:pt idx="2">
                  <c:v>3.5424547300181186E-2</c:v>
                </c:pt>
                <c:pt idx="3">
                  <c:v>9.721098677321377E-2</c:v>
                </c:pt>
                <c:pt idx="4">
                  <c:v>0.24097844406402766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21F-4AF5-A071-2DD3118069DB}"/>
            </c:ext>
          </c:extLst>
        </c:ser>
        <c:ser>
          <c:idx val="5"/>
          <c:order val="5"/>
          <c:tx>
            <c:strRef>
              <c:f>'Задание 5'!$D$19</c:f>
              <c:strCache>
                <c:ptCount val="1"/>
                <c:pt idx="0">
                  <c:v>0,8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5'!$P$5:$T$5</c:f>
              <c:numCache>
                <c:formatCode>General</c:formatCode>
                <c:ptCount val="5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</c:numCache>
            </c:numRef>
          </c:cat>
          <c:val>
            <c:numRef>
              <c:f>'Задание 5'!$P$19:$T$19</c:f>
              <c:numCache>
                <c:formatCode>General</c:formatCode>
                <c:ptCount val="5"/>
                <c:pt idx="0">
                  <c:v>8.7124413144275076E-2</c:v>
                </c:pt>
                <c:pt idx="1">
                  <c:v>9.8756021153280263E-2</c:v>
                </c:pt>
                <c:pt idx="2">
                  <c:v>0.15297789318397567</c:v>
                </c:pt>
                <c:pt idx="3">
                  <c:v>0.27099407261864905</c:v>
                </c:pt>
                <c:pt idx="4">
                  <c:v>0.47728229815896983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21F-4AF5-A071-2DD3118069DB}"/>
            </c:ext>
          </c:extLst>
        </c:ser>
        <c:ser>
          <c:idx val="6"/>
          <c:order val="6"/>
          <c:tx>
            <c:strRef>
              <c:f>'Задание 5'!$D$20</c:f>
              <c:strCache>
                <c:ptCount val="1"/>
                <c:pt idx="0">
                  <c:v>0,9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5'!$P$5:$T$5</c:f>
              <c:numCache>
                <c:formatCode>General</c:formatCode>
                <c:ptCount val="5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</c:numCache>
            </c:numRef>
          </c:cat>
          <c:val>
            <c:numRef>
              <c:f>'Задание 5'!$P$20:$T$20</c:f>
              <c:numCache>
                <c:formatCode>General</c:formatCode>
                <c:ptCount val="5"/>
                <c:pt idx="0">
                  <c:v>0.1767739512083083</c:v>
                </c:pt>
                <c:pt idx="1">
                  <c:v>0.2539582054905351</c:v>
                </c:pt>
                <c:pt idx="2">
                  <c:v>0.38887673831661407</c:v>
                </c:pt>
                <c:pt idx="3">
                  <c:v>0.6113277868883259</c:v>
                </c:pt>
                <c:pt idx="4">
                  <c:v>0.96680337150495554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21F-4AF5-A071-2DD3118069D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36768688"/>
        <c:axId val="736769048"/>
        <c:axId val="739863520"/>
      </c:surface3DChart>
      <c:catAx>
        <c:axId val="73676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769048"/>
        <c:crosses val="autoZero"/>
        <c:auto val="1"/>
        <c:lblAlgn val="ctr"/>
        <c:lblOffset val="100"/>
        <c:noMultiLvlLbl val="0"/>
      </c:catAx>
      <c:valAx>
        <c:axId val="73676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768688"/>
        <c:crosses val="autoZero"/>
        <c:crossBetween val="midCat"/>
      </c:valAx>
      <c:serAx>
        <c:axId val="73986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769048"/>
        <c:crosses val="autoZero"/>
      </c:serAx>
      <c:spPr>
        <a:noFill/>
        <a:ln>
          <a:noFill/>
        </a:ln>
        <a:effectLst/>
      </c:spPr>
    </c:plotArea>
    <c:plotVisOnly val="0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38439</xdr:colOff>
      <xdr:row>0</xdr:row>
      <xdr:rowOff>43093</xdr:rowOff>
    </xdr:from>
    <xdr:to>
      <xdr:col>5</xdr:col>
      <xdr:colOff>63063</xdr:colOff>
      <xdr:row>0</xdr:row>
      <xdr:rowOff>221749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9749545-7887-41D6-879C-AB9FDC43E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625" y="43093"/>
          <a:ext cx="2463024" cy="1786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556260</xdr:colOff>
      <xdr:row>1</xdr:row>
      <xdr:rowOff>60960</xdr:rowOff>
    </xdr:from>
    <xdr:to>
      <xdr:col>15</xdr:col>
      <xdr:colOff>128341</xdr:colOff>
      <xdr:row>1</xdr:row>
      <xdr:rowOff>546803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A6B25B3-B7FA-42DE-BCB7-93D82300F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3460" y="243840"/>
          <a:ext cx="5058481" cy="485843"/>
        </a:xfrm>
        <a:prstGeom prst="rect">
          <a:avLst/>
        </a:prstGeom>
      </xdr:spPr>
    </xdr:pic>
    <xdr:clientData/>
  </xdr:twoCellAnchor>
  <xdr:twoCellAnchor>
    <xdr:from>
      <xdr:col>4</xdr:col>
      <xdr:colOff>434788</xdr:colOff>
      <xdr:row>9</xdr:row>
      <xdr:rowOff>170328</xdr:rowOff>
    </xdr:from>
    <xdr:to>
      <xdr:col>8</xdr:col>
      <xdr:colOff>138953</xdr:colOff>
      <xdr:row>25</xdr:row>
      <xdr:rowOff>134471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10A663-650D-4343-8CEC-35C94B3FE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416859</xdr:colOff>
      <xdr:row>10</xdr:row>
      <xdr:rowOff>35860</xdr:rowOff>
    </xdr:from>
    <xdr:to>
      <xdr:col>16</xdr:col>
      <xdr:colOff>121023</xdr:colOff>
      <xdr:row>25</xdr:row>
      <xdr:rowOff>89648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44E7BAB-FEDB-444A-B99F-154AE7C76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60960</xdr:colOff>
      <xdr:row>0</xdr:row>
      <xdr:rowOff>0</xdr:rowOff>
    </xdr:from>
    <xdr:to>
      <xdr:col>17</xdr:col>
      <xdr:colOff>242641</xdr:colOff>
      <xdr:row>2</xdr:row>
      <xdr:rowOff>104843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BF9D807-8410-4E87-A04E-C3017CBC9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7360" y="0"/>
          <a:ext cx="5058481" cy="485843"/>
        </a:xfrm>
        <a:prstGeom prst="rect">
          <a:avLst/>
        </a:prstGeom>
      </xdr:spPr>
    </xdr:pic>
    <xdr:clientData/>
  </xdr:twoCellAnchor>
  <xdr:twoCellAnchor>
    <xdr:from>
      <xdr:col>8</xdr:col>
      <xdr:colOff>60960</xdr:colOff>
      <xdr:row>4</xdr:row>
      <xdr:rowOff>99060</xdr:rowOff>
    </xdr:from>
    <xdr:to>
      <xdr:col>16</xdr:col>
      <xdr:colOff>457200</xdr:colOff>
      <xdr:row>21</xdr:row>
      <xdr:rowOff>45720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516D3FB-D403-499A-8BA7-EF71D7DAC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</xdr:rowOff>
    </xdr:from>
    <xdr:to>
      <xdr:col>5</xdr:col>
      <xdr:colOff>505321</xdr:colOff>
      <xdr:row>3</xdr:row>
      <xdr:rowOff>112484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6DD2DD9-D80D-4916-9E8C-435DD9104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"/>
          <a:ext cx="3553321" cy="6382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57583</xdr:colOff>
      <xdr:row>3</xdr:row>
      <xdr:rowOff>89624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115C437-A60D-4311-A6AC-74917B49F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05583" cy="638264"/>
        </a:xfrm>
        <a:prstGeom prst="rect">
          <a:avLst/>
        </a:prstGeom>
      </xdr:spPr>
    </xdr:pic>
    <xdr:clientData/>
  </xdr:twoCellAnchor>
  <xdr:twoCellAnchor>
    <xdr:from>
      <xdr:col>8</xdr:col>
      <xdr:colOff>329758</xdr:colOff>
      <xdr:row>31</xdr:row>
      <xdr:rowOff>142924</xdr:rowOff>
    </xdr:from>
    <xdr:to>
      <xdr:col>26</xdr:col>
      <xdr:colOff>223303</xdr:colOff>
      <xdr:row>67</xdr:row>
      <xdr:rowOff>153012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3016921-9DFF-F045-AF8E-CD7068284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19"/>
  <sheetViews>
    <sheetView zoomScaleNormal="100" workbookViewId="0">
      <selection activeCell="E8" sqref="E8"/>
    </sheetView>
  </sheetViews>
  <sheetFormatPr defaultRowHeight="14.4" x14ac:dyDescent="0.3"/>
  <cols>
    <col min="1" max="1" width="13.88671875" customWidth="1"/>
  </cols>
  <sheetData>
    <row r="1" spans="1:138" ht="18" x14ac:dyDescent="0.35">
      <c r="A1" s="1" t="s">
        <v>0</v>
      </c>
    </row>
    <row r="3" spans="1:138" x14ac:dyDescent="0.3">
      <c r="A3" s="57" t="s">
        <v>1</v>
      </c>
      <c r="B3" s="58"/>
      <c r="C3" s="58"/>
      <c r="D3" s="58"/>
      <c r="E3" s="58"/>
    </row>
    <row r="4" spans="1:138" ht="15.6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138" x14ac:dyDescent="0.3">
      <c r="A5" s="3">
        <v>1</v>
      </c>
      <c r="B5" s="3">
        <v>-6</v>
      </c>
      <c r="C5" s="3">
        <v>0</v>
      </c>
      <c r="D5" s="3">
        <v>-12</v>
      </c>
      <c r="E5" s="3">
        <v>-8</v>
      </c>
    </row>
    <row r="7" spans="1:138" x14ac:dyDescent="0.3">
      <c r="A7" s="5" t="s">
        <v>7</v>
      </c>
      <c r="B7" s="6" cm="1">
        <f t="array" ref="B7">1/(1+((MAX(ABS(A5:D5)))/ABS(E5)))</f>
        <v>0.4</v>
      </c>
    </row>
    <row r="8" spans="1:138" x14ac:dyDescent="0.3">
      <c r="A8" s="5" t="s">
        <v>8</v>
      </c>
      <c r="B8" s="6" cm="1">
        <f t="array" ref="B8">1+((MAX(ABS(B5:E5)))/A5)</f>
        <v>13</v>
      </c>
    </row>
    <row r="9" spans="1:138" x14ac:dyDescent="0.3">
      <c r="A9" s="5" t="s">
        <v>9</v>
      </c>
      <c r="B9" s="6">
        <f>(B8-B7)/10</f>
        <v>1.26</v>
      </c>
    </row>
    <row r="11" spans="1:138" x14ac:dyDescent="0.3">
      <c r="A11" s="4" t="s">
        <v>10</v>
      </c>
      <c r="B11" s="12">
        <f>B7</f>
        <v>0.4</v>
      </c>
      <c r="C11" s="12">
        <f>B11+$B$9</f>
        <v>1.6600000000000001</v>
      </c>
      <c r="D11" s="12">
        <f t="shared" ref="D11:K11" si="0">C11+$B$9</f>
        <v>2.92</v>
      </c>
      <c r="E11" s="12">
        <f t="shared" si="0"/>
        <v>4.18</v>
      </c>
      <c r="F11" s="38">
        <v>6.3309241363130422</v>
      </c>
      <c r="G11" s="38">
        <v>6.6999999999999993</v>
      </c>
      <c r="H11" s="12">
        <f t="shared" si="0"/>
        <v>7.9599999999999991</v>
      </c>
      <c r="I11" s="12">
        <f t="shared" si="0"/>
        <v>9.2199999999999989</v>
      </c>
      <c r="J11" s="12">
        <f t="shared" si="0"/>
        <v>10.479999999999999</v>
      </c>
      <c r="K11" s="12">
        <f t="shared" si="0"/>
        <v>11.739999999999998</v>
      </c>
      <c r="L11" s="12">
        <f>K11+$B$9</f>
        <v>12.999999999999998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</row>
    <row r="12" spans="1:138" x14ac:dyDescent="0.3">
      <c r="A12" s="4" t="s">
        <v>11</v>
      </c>
      <c r="B12" s="9">
        <f>B11^4-6*B11^3-12*B11-8</f>
        <v>-13.1584</v>
      </c>
      <c r="C12" s="9">
        <f t="shared" ref="C12:K12" si="1">C11^4-6*C11^3-12*C11-8</f>
        <v>-47.77244464000001</v>
      </c>
      <c r="D12" s="9">
        <f t="shared" si="1"/>
        <v>-119.72303104</v>
      </c>
      <c r="E12" s="9">
        <f t="shared" si="1"/>
        <v>-191.08303024000006</v>
      </c>
      <c r="F12" s="39">
        <f t="shared" si="1"/>
        <v>-3.1999325358356145E-6</v>
      </c>
      <c r="G12" s="39">
        <f t="shared" si="1"/>
        <v>122.13409999999988</v>
      </c>
      <c r="H12" s="9">
        <f t="shared" si="1"/>
        <v>885.0223385599993</v>
      </c>
      <c r="I12" s="9">
        <f t="shared" si="1"/>
        <v>2405.1233825599988</v>
      </c>
      <c r="J12" s="9">
        <f t="shared" si="1"/>
        <v>5022.8212121599954</v>
      </c>
      <c r="K12" s="9">
        <f t="shared" si="1"/>
        <v>9138.9911777599937</v>
      </c>
      <c r="L12" s="9">
        <f>L11^4-6*L11^3-12*L11-8</f>
        <v>15214.999999999987</v>
      </c>
    </row>
    <row r="14" spans="1:138" x14ac:dyDescent="0.3">
      <c r="A14" s="5" t="s">
        <v>7</v>
      </c>
      <c r="B14" s="6">
        <f>-B8</f>
        <v>-13</v>
      </c>
    </row>
    <row r="15" spans="1:138" x14ac:dyDescent="0.3">
      <c r="A15" s="5" t="s">
        <v>8</v>
      </c>
      <c r="B15" s="6">
        <f>-B7</f>
        <v>-0.4</v>
      </c>
    </row>
    <row r="16" spans="1:138" x14ac:dyDescent="0.3">
      <c r="A16" s="5" t="s">
        <v>9</v>
      </c>
      <c r="B16" s="6">
        <f>(B15-B14)/10</f>
        <v>1.26</v>
      </c>
    </row>
    <row r="18" spans="1:12" x14ac:dyDescent="0.3">
      <c r="A18" s="4" t="s">
        <v>12</v>
      </c>
      <c r="B18" s="7">
        <f>B14</f>
        <v>-13</v>
      </c>
      <c r="C18" s="7">
        <f>B18+$B$16</f>
        <v>-11.74</v>
      </c>
      <c r="D18" s="7">
        <f t="shared" ref="D18:J18" si="2">C18+$B$16</f>
        <v>-10.48</v>
      </c>
      <c r="E18" s="7">
        <f t="shared" si="2"/>
        <v>-9.2200000000000006</v>
      </c>
      <c r="F18" s="7">
        <f t="shared" si="2"/>
        <v>-7.9600000000000009</v>
      </c>
      <c r="G18" s="7">
        <f t="shared" si="2"/>
        <v>-6.7000000000000011</v>
      </c>
      <c r="H18" s="7">
        <f t="shared" si="2"/>
        <v>-5.4400000000000013</v>
      </c>
      <c r="I18" s="7">
        <f t="shared" si="2"/>
        <v>-4.1800000000000015</v>
      </c>
      <c r="J18" s="7">
        <f t="shared" si="2"/>
        <v>-2.9200000000000017</v>
      </c>
      <c r="K18" s="40">
        <v>-1.6600000000000017</v>
      </c>
      <c r="L18" s="40">
        <v>-0.40000000000000169</v>
      </c>
    </row>
    <row r="19" spans="1:12" x14ac:dyDescent="0.3">
      <c r="A19" s="4" t="s">
        <v>11</v>
      </c>
      <c r="B19" s="4">
        <f>B18^4-6*B18^3-12*B18-8</f>
        <v>41891</v>
      </c>
      <c r="C19" s="4">
        <f t="shared" ref="C19:L19" si="3">C18^4-6*C18^3-12*C18-8</f>
        <v>28837.90346576001</v>
      </c>
      <c r="D19" s="4">
        <f t="shared" si="3"/>
        <v>19086.612316160001</v>
      </c>
      <c r="E19" s="4">
        <f t="shared" si="3"/>
        <v>12031.732758560001</v>
      </c>
      <c r="F19" s="4">
        <f t="shared" si="3"/>
        <v>7128.3623705600039</v>
      </c>
      <c r="G19" s="4">
        <f t="shared" si="3"/>
        <v>3892.0901000000026</v>
      </c>
      <c r="H19" s="4">
        <f t="shared" si="3"/>
        <v>1898.9962649600013</v>
      </c>
      <c r="I19" s="4">
        <f t="shared" si="3"/>
        <v>785.65255376000084</v>
      </c>
      <c r="J19" s="4">
        <f t="shared" si="3"/>
        <v>249.12202496000043</v>
      </c>
      <c r="K19" s="41">
        <f t="shared" si="3"/>
        <v>46.959107360000132</v>
      </c>
      <c r="L19" s="41">
        <f t="shared" si="3"/>
        <v>-2.7903999999999742</v>
      </c>
    </row>
  </sheetData>
  <mergeCells count="1">
    <mergeCell ref="A3:E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4D72-88C2-4BC8-B429-56A8AF81F68B}">
  <dimension ref="A1:L23"/>
  <sheetViews>
    <sheetView zoomScale="85" zoomScaleNormal="85" workbookViewId="0">
      <selection activeCell="L7" sqref="L7"/>
    </sheetView>
  </sheetViews>
  <sheetFormatPr defaultRowHeight="14.4" x14ac:dyDescent="0.3"/>
  <cols>
    <col min="5" max="5" width="11.33203125" bestFit="1" customWidth="1"/>
    <col min="6" max="6" width="30.6640625" bestFit="1" customWidth="1"/>
    <col min="7" max="7" width="20" bestFit="1" customWidth="1"/>
    <col min="12" max="12" width="17.6640625" bestFit="1" customWidth="1"/>
  </cols>
  <sheetData>
    <row r="1" spans="1:12" ht="15" thickBot="1" x14ac:dyDescent="0.35">
      <c r="A1" s="59" t="s">
        <v>13</v>
      </c>
      <c r="B1" s="59"/>
      <c r="C1" s="59"/>
      <c r="E1" s="60" t="s">
        <v>14</v>
      </c>
      <c r="F1" s="60"/>
      <c r="G1" s="60"/>
    </row>
    <row r="2" spans="1:12" ht="72.599999999999994" thickBot="1" x14ac:dyDescent="0.35">
      <c r="A2" s="10" t="s">
        <v>15</v>
      </c>
      <c r="B2" s="11" t="s">
        <v>16</v>
      </c>
      <c r="C2" s="11" t="s">
        <v>17</v>
      </c>
      <c r="E2" s="17" t="s">
        <v>15</v>
      </c>
      <c r="F2" s="17" t="s">
        <v>16</v>
      </c>
      <c r="G2" s="17" t="s">
        <v>17</v>
      </c>
    </row>
    <row r="3" spans="1:12" ht="15" thickBot="1" x14ac:dyDescent="0.35">
      <c r="A3" s="4">
        <v>0</v>
      </c>
      <c r="B3" s="69">
        <v>-0.9</v>
      </c>
      <c r="C3" s="4"/>
      <c r="E3" s="18">
        <v>1</v>
      </c>
      <c r="F3" s="19">
        <v>-0.9</v>
      </c>
      <c r="G3" s="18"/>
      <c r="L3" s="13" t="s">
        <v>18</v>
      </c>
    </row>
    <row r="4" spans="1:12" ht="15" thickBot="1" x14ac:dyDescent="0.35">
      <c r="A4" s="4">
        <v>1</v>
      </c>
      <c r="B4" s="69">
        <f>-(-4*SIN(B3))^1/2</f>
        <v>-1.5666538192549668</v>
      </c>
      <c r="C4" s="4" t="str">
        <f>IF(ABS(B4-B3)&lt;=0.0001,"стоп","дальше")</f>
        <v>дальше</v>
      </c>
      <c r="E4" s="18">
        <v>2</v>
      </c>
      <c r="F4" s="19">
        <f>F3-((F3^2+4*SIN(F3))/(2*F3+COS(F3)*4))</f>
        <v>2.4845755901044124</v>
      </c>
      <c r="G4" s="18" t="str">
        <f>IF(ABS(F4-F3)&lt;0.0001,"Стоп","Дальше")</f>
        <v>Дальше</v>
      </c>
      <c r="L4" s="14" t="s">
        <v>19</v>
      </c>
    </row>
    <row r="5" spans="1:12" ht="15" thickBot="1" x14ac:dyDescent="0.35">
      <c r="A5" s="4">
        <v>2</v>
      </c>
      <c r="B5" s="69">
        <f>-(-4*SIN(B4))^1/2</f>
        <v>-1.9999828396558215</v>
      </c>
      <c r="C5" s="4" t="str">
        <f>IF(ABS(B5-B4)&lt;=0.0001,"стоп","дальше")</f>
        <v>дальше</v>
      </c>
      <c r="E5" s="18">
        <v>3</v>
      </c>
      <c r="F5" s="19">
        <f t="shared" ref="F5:F6" si="0">F4-((F4^2+4*SIN(F4))/(2*F4+COS(F4)*4))</f>
        <v>-2.2971760858523296</v>
      </c>
      <c r="G5" s="18" t="str">
        <f>IF(ABS(F5-F4)&lt;0.0001,"Стоп","Дальше")</f>
        <v>Дальше</v>
      </c>
      <c r="L5" s="14" t="s">
        <v>21</v>
      </c>
    </row>
    <row r="6" spans="1:12" ht="15" thickBot="1" x14ac:dyDescent="0.35">
      <c r="A6" s="4">
        <v>3</v>
      </c>
      <c r="B6" s="69">
        <f t="shared" ref="B6:B23" si="1">-(-4*SIN(B5))^1/2</f>
        <v>-1.8186091358294831</v>
      </c>
      <c r="C6" s="4" t="str">
        <f>IF(ABS(B6-B5)&lt;=0.0001,"стоп","дальше")</f>
        <v>дальше</v>
      </c>
      <c r="E6" s="18">
        <v>4</v>
      </c>
      <c r="F6" s="19">
        <f t="shared" si="0"/>
        <v>-1.9818160070932964</v>
      </c>
      <c r="G6" s="18" t="str">
        <f t="shared" ref="G6:G7" si="2">IF(ABS(F6-F5)&lt;0.0001,"Стоп","Дальше")</f>
        <v>Дальше</v>
      </c>
      <c r="L6" s="14" t="s">
        <v>20</v>
      </c>
    </row>
    <row r="7" spans="1:12" ht="15" thickBot="1" x14ac:dyDescent="0.35">
      <c r="A7" s="4">
        <v>4</v>
      </c>
      <c r="B7" s="69">
        <f t="shared" si="1"/>
        <v>-1.9389024468818175</v>
      </c>
      <c r="C7" s="4" t="str">
        <f t="shared" ref="C7:C23" si="3">IF(ABS(B7-B6)&lt;=0.0001,"стоп","дальше")</f>
        <v>дальше</v>
      </c>
      <c r="E7" s="18">
        <v>5</v>
      </c>
      <c r="F7" s="19">
        <f>F6-((F6^2+4*SIN(F6))/(2*F6+COS(F6)*4))</f>
        <v>-1.9349357367348998</v>
      </c>
      <c r="G7" s="18" t="str">
        <f t="shared" si="2"/>
        <v>Дальше</v>
      </c>
      <c r="L7" s="15" t="s">
        <v>42</v>
      </c>
    </row>
    <row r="8" spans="1:12" ht="15" thickBot="1" x14ac:dyDescent="0.35">
      <c r="A8" s="4">
        <v>5</v>
      </c>
      <c r="B8" s="69">
        <f t="shared" si="1"/>
        <v>-1.8660210587458488</v>
      </c>
      <c r="C8" s="4" t="str">
        <f t="shared" si="3"/>
        <v>дальше</v>
      </c>
      <c r="E8" s="18">
        <v>6</v>
      </c>
      <c r="F8" s="19">
        <f t="shared" ref="F8:F9" si="4">F7-((F7^2+4*SIN(F7))/(2*F7+COS(F7)*4))</f>
        <v>-1.9337545199156201</v>
      </c>
      <c r="G8" s="18" t="str">
        <f t="shared" ref="G8:G9" si="5">IF(ABS(F8-F7)&lt;0.0001,"Стоп","Дальше")</f>
        <v>Дальше</v>
      </c>
    </row>
    <row r="9" spans="1:12" ht="15" thickBot="1" x14ac:dyDescent="0.35">
      <c r="A9" s="4">
        <v>6</v>
      </c>
      <c r="B9" s="69">
        <f t="shared" si="1"/>
        <v>-1.9134735592528866</v>
      </c>
      <c r="C9" s="4" t="str">
        <f t="shared" si="3"/>
        <v>дальше</v>
      </c>
      <c r="E9" s="18">
        <v>7</v>
      </c>
      <c r="F9" s="19">
        <f t="shared" si="4"/>
        <v>-1.9337537628273322</v>
      </c>
      <c r="G9" s="18" t="str">
        <f t="shared" si="5"/>
        <v>Стоп</v>
      </c>
    </row>
    <row r="10" spans="1:12" x14ac:dyDescent="0.3">
      <c r="A10" s="4">
        <v>7</v>
      </c>
      <c r="B10" s="69">
        <f t="shared" si="1"/>
        <v>-1.883716930995567</v>
      </c>
      <c r="C10" s="4" t="str">
        <f t="shared" si="3"/>
        <v>дальше</v>
      </c>
    </row>
    <row r="11" spans="1:12" x14ac:dyDescent="0.3">
      <c r="A11" s="4">
        <v>8</v>
      </c>
      <c r="B11" s="69">
        <f t="shared" si="1"/>
        <v>-1.90287710790273</v>
      </c>
      <c r="C11" s="4" t="str">
        <f t="shared" si="3"/>
        <v>дальше</v>
      </c>
    </row>
    <row r="12" spans="1:12" x14ac:dyDescent="0.3">
      <c r="A12" s="4">
        <v>9</v>
      </c>
      <c r="B12" s="69">
        <f t="shared" si="1"/>
        <v>-1.89073206677589</v>
      </c>
      <c r="C12" s="4" t="str">
        <f t="shared" si="3"/>
        <v>дальше</v>
      </c>
    </row>
    <row r="13" spans="1:12" x14ac:dyDescent="0.3">
      <c r="A13" s="4">
        <v>10</v>
      </c>
      <c r="B13" s="69">
        <f t="shared" si="1"/>
        <v>-1.8985112603514567</v>
      </c>
      <c r="C13" s="4" t="str">
        <f t="shared" si="3"/>
        <v>дальше</v>
      </c>
    </row>
    <row r="14" spans="1:12" x14ac:dyDescent="0.3">
      <c r="A14" s="4">
        <v>11</v>
      </c>
      <c r="B14" s="69">
        <f t="shared" si="1"/>
        <v>-1.893560665683776</v>
      </c>
      <c r="C14" s="4" t="str">
        <f t="shared" si="3"/>
        <v>дальше</v>
      </c>
    </row>
    <row r="15" spans="1:12" x14ac:dyDescent="0.3">
      <c r="A15" s="4">
        <v>12</v>
      </c>
      <c r="B15" s="69">
        <f t="shared" si="1"/>
        <v>-1.8967244475827398</v>
      </c>
      <c r="C15" s="4" t="str">
        <f t="shared" si="3"/>
        <v>дальше</v>
      </c>
    </row>
    <row r="16" spans="1:12" x14ac:dyDescent="0.3">
      <c r="A16" s="4">
        <v>13</v>
      </c>
      <c r="B16" s="69">
        <f t="shared" si="1"/>
        <v>-1.8947079223568917</v>
      </c>
      <c r="C16" s="4" t="str">
        <f t="shared" si="3"/>
        <v>дальше</v>
      </c>
    </row>
    <row r="17" spans="1:3" x14ac:dyDescent="0.3">
      <c r="A17" s="4">
        <v>14</v>
      </c>
      <c r="B17" s="69">
        <f t="shared" si="1"/>
        <v>-1.8959954042817468</v>
      </c>
      <c r="C17" s="4" t="str">
        <f t="shared" si="3"/>
        <v>дальше</v>
      </c>
    </row>
    <row r="18" spans="1:3" x14ac:dyDescent="0.3">
      <c r="A18" s="4">
        <v>15</v>
      </c>
      <c r="B18" s="69">
        <f t="shared" si="1"/>
        <v>-1.8951742808920886</v>
      </c>
      <c r="C18" s="4" t="str">
        <f t="shared" si="3"/>
        <v>дальше</v>
      </c>
    </row>
    <row r="19" spans="1:3" x14ac:dyDescent="0.3">
      <c r="A19" s="4">
        <v>16</v>
      </c>
      <c r="B19" s="69">
        <f t="shared" si="1"/>
        <v>-1.8956983355629511</v>
      </c>
      <c r="C19" s="4" t="str">
        <f t="shared" si="3"/>
        <v>дальше</v>
      </c>
    </row>
    <row r="20" spans="1:3" x14ac:dyDescent="0.3">
      <c r="A20" s="4">
        <v>17</v>
      </c>
      <c r="B20" s="69">
        <f t="shared" si="1"/>
        <v>-1.8953640226525166</v>
      </c>
      <c r="C20" s="4" t="str">
        <f t="shared" si="3"/>
        <v>дальше</v>
      </c>
    </row>
    <row r="21" spans="1:3" x14ac:dyDescent="0.3">
      <c r="A21" s="4">
        <v>18</v>
      </c>
      <c r="B21" s="69">
        <f t="shared" si="1"/>
        <v>-1.8955773527392041</v>
      </c>
      <c r="C21" s="4" t="str">
        <f t="shared" si="3"/>
        <v>дальше</v>
      </c>
    </row>
    <row r="22" spans="1:3" x14ac:dyDescent="0.3">
      <c r="A22" s="4">
        <v>19</v>
      </c>
      <c r="B22" s="69">
        <f t="shared" si="1"/>
        <v>-1.8954412480687204</v>
      </c>
      <c r="C22" s="4" t="str">
        <f t="shared" si="3"/>
        <v>дальше</v>
      </c>
    </row>
    <row r="23" spans="1:3" x14ac:dyDescent="0.3">
      <c r="A23" s="4">
        <v>20</v>
      </c>
      <c r="B23" s="69">
        <f t="shared" si="1"/>
        <v>-1.8955280928580875</v>
      </c>
      <c r="C23" s="4" t="str">
        <f t="shared" si="3"/>
        <v>стоп</v>
      </c>
    </row>
  </sheetData>
  <mergeCells count="2">
    <mergeCell ref="A1:C1"/>
    <mergeCell ref="E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1998-230E-405B-8D9F-D70E476A72F8}">
  <dimension ref="A1:F17"/>
  <sheetViews>
    <sheetView workbookViewId="0">
      <selection activeCell="S14" sqref="S14"/>
    </sheetView>
  </sheetViews>
  <sheetFormatPr defaultRowHeight="14.4" x14ac:dyDescent="0.3"/>
  <cols>
    <col min="1" max="1" width="16.88671875" bestFit="1" customWidth="1"/>
    <col min="2" max="2" width="11.33203125" bestFit="1" customWidth="1"/>
    <col min="3" max="3" width="11" bestFit="1" customWidth="1"/>
    <col min="4" max="5" width="12" bestFit="1" customWidth="1"/>
    <col min="6" max="6" width="20" bestFit="1" customWidth="1"/>
  </cols>
  <sheetData>
    <row r="1" spans="1:6" ht="15" thickBot="1" x14ac:dyDescent="0.35">
      <c r="A1" s="61" t="s">
        <v>22</v>
      </c>
      <c r="B1" s="62"/>
      <c r="C1" s="62"/>
      <c r="D1" s="62"/>
      <c r="E1" s="62"/>
      <c r="F1" s="63"/>
    </row>
    <row r="2" spans="1:6" ht="15" thickBot="1" x14ac:dyDescent="0.35">
      <c r="A2" s="20" t="s">
        <v>18</v>
      </c>
      <c r="B2" s="19" t="s">
        <v>15</v>
      </c>
      <c r="C2" s="19" t="s">
        <v>23</v>
      </c>
      <c r="D2" s="19" t="s">
        <v>24</v>
      </c>
      <c r="E2" s="19" t="s">
        <v>25</v>
      </c>
      <c r="F2" s="19" t="s">
        <v>17</v>
      </c>
    </row>
    <row r="3" spans="1:6" ht="15" thickBot="1" x14ac:dyDescent="0.35">
      <c r="A3" s="15" t="s">
        <v>26</v>
      </c>
      <c r="B3" s="19">
        <v>1</v>
      </c>
      <c r="C3" s="19">
        <v>-2</v>
      </c>
      <c r="D3" s="19">
        <v>-1</v>
      </c>
      <c r="E3" s="19">
        <f>(C3+D3)/2</f>
        <v>-1.5</v>
      </c>
      <c r="F3" s="19" t="str">
        <f>IF(ABS(C3-D3)&lt;0.0001,"Стоп","Дальше")</f>
        <v>Дальше</v>
      </c>
    </row>
    <row r="4" spans="1:6" ht="15" thickBot="1" x14ac:dyDescent="0.35">
      <c r="B4" s="19">
        <v>2</v>
      </c>
      <c r="C4" s="19">
        <f>IF(((C3^2+4*SIN(C3))*(E3^2+4*SIN(E3)))&lt;0,C3,D3)</f>
        <v>-2</v>
      </c>
      <c r="D4" s="19">
        <f>E3</f>
        <v>-1.5</v>
      </c>
      <c r="E4" s="19">
        <f>(C4+D4)/2</f>
        <v>-1.75</v>
      </c>
      <c r="F4" s="19" t="str">
        <f t="shared" ref="F4:F17" si="0">IF(ABS(C4-D4)&lt;0.0001,"Стоп","Дальше")</f>
        <v>Дальше</v>
      </c>
    </row>
    <row r="5" spans="1:6" ht="15" thickBot="1" x14ac:dyDescent="0.35">
      <c r="B5" s="19">
        <v>3</v>
      </c>
      <c r="C5" s="19">
        <f t="shared" ref="C5:C17" si="1">IF(((C4^2+4*SIN(C4))*(E4^2+4*SIN(E4)))&lt;0,C4,D4)</f>
        <v>-2</v>
      </c>
      <c r="D5" s="19">
        <f t="shared" ref="D5:D17" si="2">E4</f>
        <v>-1.75</v>
      </c>
      <c r="E5" s="19">
        <f t="shared" ref="E5:E17" si="3">(C5+D5)/2</f>
        <v>-1.875</v>
      </c>
      <c r="F5" s="19" t="str">
        <f t="shared" si="0"/>
        <v>Дальше</v>
      </c>
    </row>
    <row r="6" spans="1:6" ht="15" thickBot="1" x14ac:dyDescent="0.35">
      <c r="B6" s="19">
        <v>4</v>
      </c>
      <c r="C6" s="19">
        <f t="shared" si="1"/>
        <v>-2</v>
      </c>
      <c r="D6" s="19">
        <f t="shared" si="2"/>
        <v>-1.875</v>
      </c>
      <c r="E6" s="19">
        <f t="shared" si="3"/>
        <v>-1.9375</v>
      </c>
      <c r="F6" s="19" t="str">
        <f t="shared" si="0"/>
        <v>Дальше</v>
      </c>
    </row>
    <row r="7" spans="1:6" ht="15" thickBot="1" x14ac:dyDescent="0.35">
      <c r="B7" s="19">
        <v>5</v>
      </c>
      <c r="C7" s="19">
        <f t="shared" si="1"/>
        <v>-1.875</v>
      </c>
      <c r="D7" s="19">
        <f t="shared" si="2"/>
        <v>-1.9375</v>
      </c>
      <c r="E7" s="19">
        <f t="shared" si="3"/>
        <v>-1.90625</v>
      </c>
      <c r="F7" s="19" t="str">
        <f t="shared" si="0"/>
        <v>Дальше</v>
      </c>
    </row>
    <row r="8" spans="1:6" ht="15" thickBot="1" x14ac:dyDescent="0.35">
      <c r="B8" s="19">
        <v>6</v>
      </c>
      <c r="C8" s="19">
        <f t="shared" si="1"/>
        <v>-1.9375</v>
      </c>
      <c r="D8" s="19">
        <f t="shared" si="2"/>
        <v>-1.90625</v>
      </c>
      <c r="E8" s="19">
        <f t="shared" si="3"/>
        <v>-1.921875</v>
      </c>
      <c r="F8" s="19" t="str">
        <f t="shared" si="0"/>
        <v>Дальше</v>
      </c>
    </row>
    <row r="9" spans="1:6" ht="15" thickBot="1" x14ac:dyDescent="0.35">
      <c r="B9" s="19">
        <v>7</v>
      </c>
      <c r="C9" s="19">
        <f t="shared" si="1"/>
        <v>-1.9375</v>
      </c>
      <c r="D9" s="19">
        <f t="shared" si="2"/>
        <v>-1.921875</v>
      </c>
      <c r="E9" s="19">
        <f t="shared" si="3"/>
        <v>-1.9296875</v>
      </c>
      <c r="F9" s="19" t="str">
        <f t="shared" si="0"/>
        <v>Дальше</v>
      </c>
    </row>
    <row r="10" spans="1:6" ht="15" thickBot="1" x14ac:dyDescent="0.35">
      <c r="B10" s="19">
        <v>8</v>
      </c>
      <c r="C10" s="19">
        <f t="shared" si="1"/>
        <v>-1.9375</v>
      </c>
      <c r="D10" s="19">
        <f t="shared" si="2"/>
        <v>-1.9296875</v>
      </c>
      <c r="E10" s="19">
        <f t="shared" si="3"/>
        <v>-1.93359375</v>
      </c>
      <c r="F10" s="19" t="str">
        <f t="shared" si="0"/>
        <v>Дальше</v>
      </c>
    </row>
    <row r="11" spans="1:6" ht="15" thickBot="1" x14ac:dyDescent="0.35">
      <c r="B11" s="19">
        <v>9</v>
      </c>
      <c r="C11" s="19">
        <f t="shared" si="1"/>
        <v>-1.9375</v>
      </c>
      <c r="D11" s="19">
        <f t="shared" si="2"/>
        <v>-1.93359375</v>
      </c>
      <c r="E11" s="19">
        <f t="shared" si="3"/>
        <v>-1.935546875</v>
      </c>
      <c r="F11" s="19" t="str">
        <f t="shared" si="0"/>
        <v>Дальше</v>
      </c>
    </row>
    <row r="12" spans="1:6" ht="15" thickBot="1" x14ac:dyDescent="0.35">
      <c r="B12" s="19">
        <v>10</v>
      </c>
      <c r="C12" s="19">
        <f t="shared" si="1"/>
        <v>-1.93359375</v>
      </c>
      <c r="D12" s="19">
        <f t="shared" si="2"/>
        <v>-1.935546875</v>
      </c>
      <c r="E12" s="19">
        <f t="shared" si="3"/>
        <v>-1.9345703125</v>
      </c>
      <c r="F12" s="19" t="str">
        <f t="shared" si="0"/>
        <v>Дальше</v>
      </c>
    </row>
    <row r="13" spans="1:6" ht="15" thickBot="1" x14ac:dyDescent="0.35">
      <c r="B13" s="19">
        <v>11</v>
      </c>
      <c r="C13" s="19">
        <f t="shared" si="1"/>
        <v>-1.93359375</v>
      </c>
      <c r="D13" s="19">
        <f t="shared" si="2"/>
        <v>-1.9345703125</v>
      </c>
      <c r="E13" s="19">
        <f t="shared" si="3"/>
        <v>-1.93408203125</v>
      </c>
      <c r="F13" s="19" t="str">
        <f t="shared" si="0"/>
        <v>Дальше</v>
      </c>
    </row>
    <row r="14" spans="1:6" ht="15" thickBot="1" x14ac:dyDescent="0.35">
      <c r="B14" s="19">
        <v>12</v>
      </c>
      <c r="C14" s="19">
        <f t="shared" si="1"/>
        <v>-1.93359375</v>
      </c>
      <c r="D14" s="19">
        <f t="shared" si="2"/>
        <v>-1.93408203125</v>
      </c>
      <c r="E14" s="19">
        <f t="shared" si="3"/>
        <v>-1.933837890625</v>
      </c>
      <c r="F14" s="19" t="str">
        <f t="shared" si="0"/>
        <v>Дальше</v>
      </c>
    </row>
    <row r="15" spans="1:6" ht="15" thickBot="1" x14ac:dyDescent="0.35">
      <c r="B15" s="19">
        <v>13</v>
      </c>
      <c r="C15" s="19">
        <f t="shared" si="1"/>
        <v>-1.93359375</v>
      </c>
      <c r="D15" s="19">
        <f t="shared" si="2"/>
        <v>-1.933837890625</v>
      </c>
      <c r="E15" s="19">
        <f t="shared" si="3"/>
        <v>-1.9337158203125</v>
      </c>
      <c r="F15" s="19" t="str">
        <f t="shared" si="0"/>
        <v>Дальше</v>
      </c>
    </row>
    <row r="16" spans="1:6" ht="15" thickBot="1" x14ac:dyDescent="0.35">
      <c r="B16" s="19">
        <v>14</v>
      </c>
      <c r="C16" s="19">
        <f t="shared" si="1"/>
        <v>-1.933837890625</v>
      </c>
      <c r="D16" s="19">
        <f t="shared" si="2"/>
        <v>-1.9337158203125</v>
      </c>
      <c r="E16" s="19">
        <f t="shared" si="3"/>
        <v>-1.93377685546875</v>
      </c>
      <c r="F16" s="19" t="str">
        <f t="shared" si="0"/>
        <v>Дальше</v>
      </c>
    </row>
    <row r="17" spans="2:6" ht="15" thickBot="1" x14ac:dyDescent="0.35">
      <c r="B17" s="19">
        <v>15</v>
      </c>
      <c r="C17" s="19">
        <f t="shared" si="1"/>
        <v>-1.9337158203125</v>
      </c>
      <c r="D17" s="19">
        <f t="shared" si="2"/>
        <v>-1.93377685546875</v>
      </c>
      <c r="E17" s="19">
        <f t="shared" si="3"/>
        <v>-1.933746337890625</v>
      </c>
      <c r="F17" s="19" t="str">
        <f t="shared" si="0"/>
        <v>Стоп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25C8-3BD2-453F-98F2-B47B45722A6C}">
  <dimension ref="A1:K40"/>
  <sheetViews>
    <sheetView workbookViewId="0">
      <selection activeCell="Q20" sqref="Q20"/>
    </sheetView>
  </sheetViews>
  <sheetFormatPr defaultRowHeight="14.4" x14ac:dyDescent="0.3"/>
  <sheetData>
    <row r="1" spans="1:11" x14ac:dyDescent="0.3">
      <c r="G1" s="37">
        <v>7.6</v>
      </c>
      <c r="H1" s="37">
        <v>5.8</v>
      </c>
      <c r="I1" s="37">
        <v>4.7</v>
      </c>
      <c r="J1" s="37">
        <v>10.1</v>
      </c>
    </row>
    <row r="2" spans="1:11" x14ac:dyDescent="0.3">
      <c r="G2" s="37">
        <v>3.8</v>
      </c>
      <c r="H2" s="37">
        <v>4.0999999999999996</v>
      </c>
      <c r="I2" s="37">
        <v>2.7</v>
      </c>
      <c r="J2" s="37">
        <v>9.6999999999999993</v>
      </c>
    </row>
    <row r="3" spans="1:11" x14ac:dyDescent="0.3">
      <c r="G3" s="37">
        <v>2.9</v>
      </c>
      <c r="H3" s="37">
        <v>2.1</v>
      </c>
      <c r="I3" s="37">
        <v>3.8</v>
      </c>
      <c r="J3" s="37">
        <v>7.8</v>
      </c>
    </row>
    <row r="6" spans="1:11" ht="15" thickBot="1" x14ac:dyDescent="0.35"/>
    <row r="7" spans="1:11" x14ac:dyDescent="0.3">
      <c r="A7" s="65" t="s">
        <v>27</v>
      </c>
      <c r="B7" s="66"/>
      <c r="C7" s="66"/>
      <c r="D7" s="66"/>
      <c r="E7" s="66"/>
      <c r="F7" s="22"/>
      <c r="G7" s="22"/>
      <c r="H7" s="22"/>
      <c r="I7" s="22"/>
      <c r="J7" s="22"/>
      <c r="K7" s="23"/>
    </row>
    <row r="8" spans="1:11" x14ac:dyDescent="0.3">
      <c r="A8" s="37">
        <v>7.6</v>
      </c>
      <c r="B8" s="37">
        <v>5.8</v>
      </c>
      <c r="C8" s="37">
        <v>4.7</v>
      </c>
      <c r="D8" s="37">
        <v>10.1</v>
      </c>
      <c r="F8" s="12">
        <f t="array" ref="F8:H10">MINVERSE(A8:C10)</f>
        <v>0.53276705553464876</v>
      </c>
      <c r="G8" s="12">
        <v>-0.6542658996828129</v>
      </c>
      <c r="H8" s="12">
        <v>-0.19407558733401428</v>
      </c>
      <c r="J8" s="25" t="s">
        <v>28</v>
      </c>
      <c r="K8" s="53">
        <f t="array" ref="K8:K10">MMULT(F8:H10,D8:D10)</f>
        <v>-2.4792215472286436</v>
      </c>
    </row>
    <row r="9" spans="1:11" x14ac:dyDescent="0.3">
      <c r="A9" s="37">
        <v>3.8</v>
      </c>
      <c r="B9" s="37">
        <v>4.0999999999999996</v>
      </c>
      <c r="C9" s="37">
        <v>2.7</v>
      </c>
      <c r="D9" s="37">
        <v>9.6999999999999993</v>
      </c>
      <c r="F9" s="12">
        <v>-0.35535723885812598</v>
      </c>
      <c r="G9" s="12">
        <v>0.81984839524756747</v>
      </c>
      <c r="H9" s="12">
        <v>-0.14300306435137902</v>
      </c>
      <c r="J9" s="25" t="s">
        <v>29</v>
      </c>
      <c r="K9" s="53">
        <v>3.2479974194935757</v>
      </c>
    </row>
    <row r="10" spans="1:11" ht="15" thickBot="1" x14ac:dyDescent="0.35">
      <c r="A10" s="37">
        <v>2.9</v>
      </c>
      <c r="B10" s="37">
        <v>2.1</v>
      </c>
      <c r="C10" s="37">
        <v>3.8</v>
      </c>
      <c r="D10" s="37">
        <v>7.8</v>
      </c>
      <c r="E10" s="26"/>
      <c r="F10" s="24">
        <v>-0.21020375248642548</v>
      </c>
      <c r="G10" s="24">
        <v>4.6234073436912014E-2</v>
      </c>
      <c r="H10" s="24">
        <v>0.49029622063329931</v>
      </c>
      <c r="I10" s="26"/>
      <c r="J10" s="27" t="s">
        <v>30</v>
      </c>
      <c r="K10" s="54">
        <v>2.1497231331648838</v>
      </c>
    </row>
    <row r="11" spans="1:11" x14ac:dyDescent="0.3">
      <c r="A11" s="67" t="s">
        <v>31</v>
      </c>
      <c r="B11" s="68"/>
      <c r="C11" s="68"/>
      <c r="D11" s="68"/>
      <c r="E11" s="68"/>
      <c r="K11" s="28"/>
    </row>
    <row r="12" spans="1:11" x14ac:dyDescent="0.3">
      <c r="A12" s="37">
        <v>7.6</v>
      </c>
      <c r="B12" s="37">
        <v>5.8</v>
      </c>
      <c r="C12" s="37">
        <v>4.7</v>
      </c>
      <c r="D12" s="37">
        <v>10.1</v>
      </c>
      <c r="K12" s="28"/>
    </row>
    <row r="13" spans="1:11" x14ac:dyDescent="0.3">
      <c r="A13" s="37">
        <v>3.8</v>
      </c>
      <c r="B13" s="37">
        <v>4.0999999999999996</v>
      </c>
      <c r="C13" s="37">
        <v>2.7</v>
      </c>
      <c r="D13" s="37">
        <v>9.6999999999999993</v>
      </c>
      <c r="K13" s="28"/>
    </row>
    <row r="14" spans="1:11" x14ac:dyDescent="0.3">
      <c r="A14" s="37">
        <v>2.9</v>
      </c>
      <c r="B14" s="37">
        <v>2.1</v>
      </c>
      <c r="C14" s="37">
        <v>3.8</v>
      </c>
      <c r="D14" s="37">
        <v>7.8</v>
      </c>
      <c r="K14" s="28"/>
    </row>
    <row r="15" spans="1:11" x14ac:dyDescent="0.3">
      <c r="A15" s="29"/>
      <c r="K15" s="28"/>
    </row>
    <row r="16" spans="1:11" x14ac:dyDescent="0.3">
      <c r="A16" s="21">
        <f t="array" ref="A16:C18">A12:C14</f>
        <v>7.6</v>
      </c>
      <c r="B16" s="9">
        <v>5.8</v>
      </c>
      <c r="C16" s="9">
        <v>4.7</v>
      </c>
      <c r="E16" s="12">
        <f>D12</f>
        <v>10.1</v>
      </c>
      <c r="F16" s="12">
        <f t="array" ref="F16:G18">B12:C14</f>
        <v>5.8</v>
      </c>
      <c r="G16" s="12">
        <v>4.7</v>
      </c>
      <c r="I16" s="25" t="s">
        <v>28</v>
      </c>
      <c r="J16" s="52">
        <f>F19/B19</f>
        <v>-2.4792215472286432</v>
      </c>
      <c r="K16" s="28"/>
    </row>
    <row r="17" spans="1:11" x14ac:dyDescent="0.3">
      <c r="A17" s="21">
        <v>3.8</v>
      </c>
      <c r="B17" s="9">
        <v>4.0999999999999996</v>
      </c>
      <c r="C17" s="9">
        <v>2.7</v>
      </c>
      <c r="E17" s="12">
        <f>D13</f>
        <v>9.6999999999999993</v>
      </c>
      <c r="F17" s="12">
        <v>4.0999999999999996</v>
      </c>
      <c r="G17" s="12">
        <v>2.7</v>
      </c>
      <c r="I17" s="25" t="s">
        <v>29</v>
      </c>
      <c r="J17" s="52">
        <f>B24/B19</f>
        <v>3.2479974194935757</v>
      </c>
      <c r="K17" s="28"/>
    </row>
    <row r="18" spans="1:11" x14ac:dyDescent="0.3">
      <c r="A18" s="21">
        <v>2.9</v>
      </c>
      <c r="B18" s="9">
        <v>2.1</v>
      </c>
      <c r="C18" s="9">
        <v>3.8</v>
      </c>
      <c r="E18" s="12">
        <f>D14</f>
        <v>7.8</v>
      </c>
      <c r="F18" s="12">
        <v>2.1</v>
      </c>
      <c r="G18" s="12">
        <v>3.8</v>
      </c>
      <c r="I18" s="25" t="s">
        <v>30</v>
      </c>
      <c r="J18" s="52">
        <f>F24/B19</f>
        <v>2.1497231331648834</v>
      </c>
      <c r="K18" s="28"/>
    </row>
    <row r="19" spans="1:11" x14ac:dyDescent="0.3">
      <c r="A19" s="30" t="s">
        <v>32</v>
      </c>
      <c r="B19" s="31">
        <f t="array" ref="B19">MDETERM(A16:C18)</f>
        <v>18.600999999999996</v>
      </c>
      <c r="E19" s="32" t="s">
        <v>33</v>
      </c>
      <c r="F19" s="31">
        <f t="array" ref="F19">MDETERM(E16:G18)</f>
        <v>-46.115999999999978</v>
      </c>
      <c r="K19" s="28"/>
    </row>
    <row r="20" spans="1:11" x14ac:dyDescent="0.3">
      <c r="A20" s="29"/>
      <c r="K20" s="28"/>
    </row>
    <row r="21" spans="1:11" x14ac:dyDescent="0.3">
      <c r="A21" s="21">
        <f t="array" ref="A21:A23">A12:A14</f>
        <v>7.6</v>
      </c>
      <c r="B21" s="9">
        <f t="array" ref="B21:B23">D12:D14</f>
        <v>10.1</v>
      </c>
      <c r="C21" s="9">
        <f t="array" ref="C21:C23">C12:C14</f>
        <v>4.7</v>
      </c>
      <c r="E21" s="9">
        <f t="array" ref="E21:F23">A12:B14</f>
        <v>7.6</v>
      </c>
      <c r="F21" s="9">
        <v>5.8</v>
      </c>
      <c r="G21" s="9">
        <f t="array" ref="G21:G23">D12:D14</f>
        <v>10.1</v>
      </c>
      <c r="K21" s="28"/>
    </row>
    <row r="22" spans="1:11" x14ac:dyDescent="0.3">
      <c r="A22" s="21">
        <v>3.8</v>
      </c>
      <c r="B22" s="9">
        <v>9.6999999999999993</v>
      </c>
      <c r="C22" s="9">
        <v>2.7</v>
      </c>
      <c r="E22" s="9">
        <v>3.8</v>
      </c>
      <c r="F22" s="9">
        <v>4.0999999999999996</v>
      </c>
      <c r="G22" s="9">
        <v>9.6999999999999993</v>
      </c>
      <c r="K22" s="28"/>
    </row>
    <row r="23" spans="1:11" x14ac:dyDescent="0.3">
      <c r="A23" s="21">
        <v>2.9</v>
      </c>
      <c r="B23" s="9">
        <v>7.8</v>
      </c>
      <c r="C23" s="9">
        <v>3.8</v>
      </c>
      <c r="E23" s="9">
        <v>2.9</v>
      </c>
      <c r="F23" s="9">
        <v>2.1</v>
      </c>
      <c r="G23" s="9">
        <v>7.8</v>
      </c>
      <c r="K23" s="28"/>
    </row>
    <row r="24" spans="1:11" ht="15" thickBot="1" x14ac:dyDescent="0.35">
      <c r="A24" s="33" t="s">
        <v>34</v>
      </c>
      <c r="B24" s="34">
        <f>MDETERM(A21:C23)</f>
        <v>60.415999999999983</v>
      </c>
      <c r="C24" s="26"/>
      <c r="D24" s="26"/>
      <c r="E24" s="35" t="s">
        <v>35</v>
      </c>
      <c r="F24" s="34">
        <f t="array" ref="F24">MDETERM(E21:G23)</f>
        <v>39.986999999999988</v>
      </c>
      <c r="G24" s="26"/>
      <c r="H24" s="26"/>
      <c r="I24" s="26"/>
      <c r="J24" s="26"/>
      <c r="K24" s="36"/>
    </row>
    <row r="25" spans="1:11" x14ac:dyDescent="0.3">
      <c r="A25" s="64" t="s">
        <v>36</v>
      </c>
      <c r="B25" s="64"/>
      <c r="C25" s="64"/>
      <c r="D25" s="64"/>
      <c r="E25" s="22"/>
      <c r="F25" s="22"/>
      <c r="G25" s="22"/>
      <c r="H25" s="22"/>
      <c r="I25" s="22"/>
      <c r="J25" s="22"/>
      <c r="K25" s="23"/>
    </row>
    <row r="26" spans="1:11" x14ac:dyDescent="0.3">
      <c r="A26" s="46">
        <v>7.6</v>
      </c>
      <c r="B26" s="37">
        <v>5.8</v>
      </c>
      <c r="C26" s="37">
        <v>4.7</v>
      </c>
      <c r="D26" s="37">
        <v>10.1</v>
      </c>
      <c r="E26" s="9"/>
      <c r="F26" s="9">
        <v>3.75</v>
      </c>
      <c r="G26" s="47"/>
      <c r="H26" s="47"/>
      <c r="I26" s="47"/>
      <c r="J26" s="47"/>
      <c r="K26" s="28"/>
    </row>
    <row r="27" spans="1:11" x14ac:dyDescent="0.3">
      <c r="A27" s="46">
        <v>3.8</v>
      </c>
      <c r="B27" s="37">
        <v>4.0999999999999996</v>
      </c>
      <c r="C27" s="37">
        <v>2.7</v>
      </c>
      <c r="D27" s="37">
        <v>9.6999999999999993</v>
      </c>
      <c r="E27" s="9"/>
      <c r="F27" s="9"/>
      <c r="G27" s="47"/>
      <c r="H27" s="47"/>
      <c r="I27" s="47"/>
      <c r="J27" s="47"/>
      <c r="K27" s="28"/>
    </row>
    <row r="28" spans="1:11" x14ac:dyDescent="0.3">
      <c r="A28" s="46">
        <v>2.9</v>
      </c>
      <c r="B28" s="37">
        <v>2.1</v>
      </c>
      <c r="C28" s="37">
        <v>3.8</v>
      </c>
      <c r="D28" s="37">
        <v>7.8</v>
      </c>
      <c r="E28" s="9"/>
      <c r="F28" s="9"/>
      <c r="G28" s="47"/>
      <c r="H28" s="47"/>
      <c r="I28" s="47"/>
      <c r="J28" s="47"/>
      <c r="K28" s="28"/>
    </row>
    <row r="29" spans="1:11" x14ac:dyDescent="0.3">
      <c r="A29" s="48"/>
      <c r="B29" s="9"/>
      <c r="C29" s="9"/>
      <c r="D29" s="9"/>
      <c r="E29" s="9"/>
      <c r="F29" s="9"/>
      <c r="G29" s="47"/>
      <c r="H29" s="47"/>
      <c r="I29" s="47"/>
      <c r="J29" s="47"/>
      <c r="K29" s="28"/>
    </row>
    <row r="30" spans="1:11" x14ac:dyDescent="0.3">
      <c r="A30" s="48">
        <f t="array" ref="A30:D30">A26:D26/A26</f>
        <v>1</v>
      </c>
      <c r="B30" s="9">
        <v>0.76315789473684215</v>
      </c>
      <c r="C30" s="9">
        <v>0.61842105263157898</v>
      </c>
      <c r="D30" s="9">
        <v>1.3289473684210527</v>
      </c>
      <c r="E30" s="9"/>
      <c r="F30" s="9"/>
      <c r="G30" s="47"/>
      <c r="H30" s="47"/>
      <c r="I30" s="47"/>
      <c r="J30" s="47"/>
      <c r="K30" s="28"/>
    </row>
    <row r="31" spans="1:11" x14ac:dyDescent="0.3">
      <c r="A31" s="48">
        <f t="array" ref="A31:D31">A27:D27-$A$30:$D$30*A27</f>
        <v>0</v>
      </c>
      <c r="B31" s="9">
        <v>1.1999999999999997</v>
      </c>
      <c r="C31" s="9">
        <v>0.35000000000000009</v>
      </c>
      <c r="D31" s="9">
        <v>4.6499999999999995</v>
      </c>
      <c r="E31" s="9"/>
      <c r="F31" s="9">
        <v>4.7546999999999999E-2</v>
      </c>
      <c r="G31" s="47"/>
      <c r="H31" s="47"/>
      <c r="I31" s="47"/>
      <c r="J31" s="47"/>
      <c r="K31" s="28"/>
    </row>
    <row r="32" spans="1:11" x14ac:dyDescent="0.3">
      <c r="A32" s="48">
        <f t="array" ref="A32:D32">A28:D28-$A$30:$D$30*A28</f>
        <v>0</v>
      </c>
      <c r="B32" s="9">
        <v>-0.11315789473684212</v>
      </c>
      <c r="C32" s="9">
        <v>2.0065789473684208</v>
      </c>
      <c r="D32" s="9">
        <v>3.9460526315789473</v>
      </c>
      <c r="E32" s="9"/>
      <c r="F32" s="9"/>
      <c r="G32" s="47"/>
      <c r="H32" s="47"/>
      <c r="I32" s="47"/>
      <c r="J32" s="47"/>
      <c r="K32" s="28"/>
    </row>
    <row r="33" spans="1:11" x14ac:dyDescent="0.3">
      <c r="A33" s="48"/>
      <c r="B33" s="9"/>
      <c r="C33" s="9"/>
      <c r="D33" s="9"/>
      <c r="E33" s="9"/>
      <c r="F33" s="9"/>
      <c r="G33" s="47"/>
      <c r="H33" s="47"/>
      <c r="I33" s="47"/>
      <c r="J33" s="47"/>
      <c r="K33" s="28"/>
    </row>
    <row r="34" spans="1:11" x14ac:dyDescent="0.3">
      <c r="A34" s="48">
        <f t="array" ref="A34:D34">A30:D30/A30</f>
        <v>1</v>
      </c>
      <c r="B34" s="9">
        <v>0.76315789473684215</v>
      </c>
      <c r="C34" s="9">
        <v>0.61842105263157898</v>
      </c>
      <c r="D34" s="9">
        <v>1.3289473684210527</v>
      </c>
      <c r="E34" s="9"/>
      <c r="F34" s="9"/>
      <c r="G34" s="47"/>
      <c r="H34" s="47"/>
      <c r="I34" s="47"/>
      <c r="J34" s="47"/>
      <c r="K34" s="28"/>
    </row>
    <row r="35" spans="1:11" x14ac:dyDescent="0.3">
      <c r="A35" s="48">
        <f t="array" ref="A35:D35">A31:D31/B31</f>
        <v>0</v>
      </c>
      <c r="B35" s="9">
        <v>1</v>
      </c>
      <c r="C35" s="9">
        <v>0.2916666666666668</v>
      </c>
      <c r="D35" s="9">
        <v>3.8750000000000004</v>
      </c>
      <c r="E35" s="9"/>
      <c r="F35" s="9"/>
      <c r="G35" s="47"/>
      <c r="H35" s="47"/>
      <c r="I35" s="47"/>
      <c r="J35" s="47"/>
      <c r="K35" s="28"/>
    </row>
    <row r="36" spans="1:11" x14ac:dyDescent="0.3">
      <c r="A36" s="48">
        <f t="array" ref="A36:D36">A32:D32-$A$35:$D$35*B32</f>
        <v>0</v>
      </c>
      <c r="B36" s="9">
        <v>0</v>
      </c>
      <c r="C36" s="9">
        <v>2.0395833333333333</v>
      </c>
      <c r="D36" s="9">
        <v>4.3845394736842103</v>
      </c>
      <c r="E36" s="9"/>
      <c r="F36" s="9">
        <v>-12.503399999999999</v>
      </c>
      <c r="G36" s="47"/>
      <c r="H36" s="47"/>
      <c r="I36" s="47"/>
      <c r="J36" s="47"/>
      <c r="K36" s="28"/>
    </row>
    <row r="37" spans="1:11" x14ac:dyDescent="0.3">
      <c r="A37" s="48"/>
      <c r="B37" s="9"/>
      <c r="C37" s="9"/>
      <c r="D37" s="9"/>
      <c r="E37" s="9"/>
      <c r="F37" s="9"/>
      <c r="G37" s="47"/>
      <c r="H37" s="47"/>
      <c r="I37" s="47"/>
      <c r="J37" s="47"/>
      <c r="K37" s="28"/>
    </row>
    <row r="38" spans="1:11" ht="28.8" x14ac:dyDescent="0.3">
      <c r="A38" s="48">
        <f t="array" ref="A38:D38">A34:D34/A34</f>
        <v>1</v>
      </c>
      <c r="B38" s="9">
        <v>0.76315789473684215</v>
      </c>
      <c r="C38" s="9">
        <v>0.61842105263157898</v>
      </c>
      <c r="D38" s="9">
        <v>1.3289473684210527</v>
      </c>
      <c r="E38" s="50">
        <f>D38-C38*D40-B38*E39</f>
        <v>-2.4792215472286436</v>
      </c>
      <c r="F38" s="45" t="s">
        <v>39</v>
      </c>
      <c r="G38" s="47"/>
      <c r="H38" s="47"/>
      <c r="I38" s="47"/>
      <c r="J38" s="47"/>
      <c r="K38" s="28"/>
    </row>
    <row r="39" spans="1:11" x14ac:dyDescent="0.3">
      <c r="A39" s="48">
        <f t="array" ref="A39:D39">A35:D35/B35</f>
        <v>0</v>
      </c>
      <c r="B39" s="9">
        <v>1</v>
      </c>
      <c r="C39" s="9">
        <v>0.2916666666666668</v>
      </c>
      <c r="D39" s="9">
        <v>3.8750000000000004</v>
      </c>
      <c r="E39" s="50">
        <f>D39-C39*E40</f>
        <v>3.2479974194935757</v>
      </c>
      <c r="F39" s="9">
        <f>F26*F31*F36</f>
        <v>-2.2293718492499996</v>
      </c>
      <c r="G39" s="47"/>
      <c r="H39" s="47"/>
      <c r="I39" s="47"/>
      <c r="J39" s="47"/>
      <c r="K39" s="28"/>
    </row>
    <row r="40" spans="1:11" ht="15" thickBot="1" x14ac:dyDescent="0.35">
      <c r="A40" s="49">
        <f t="array" ref="A40:D40">A36:D36/C36</f>
        <v>0</v>
      </c>
      <c r="B40" s="16">
        <v>0</v>
      </c>
      <c r="C40" s="16">
        <v>1</v>
      </c>
      <c r="D40" s="16">
        <v>2.1497231331648834</v>
      </c>
      <c r="E40" s="51">
        <f>D40</f>
        <v>2.1497231331648834</v>
      </c>
      <c r="F40" s="16"/>
      <c r="G40" s="26"/>
      <c r="H40" s="26"/>
      <c r="I40" s="26"/>
      <c r="J40" s="26"/>
      <c r="K40" s="36"/>
    </row>
  </sheetData>
  <mergeCells count="3">
    <mergeCell ref="A25:D25"/>
    <mergeCell ref="A7:E7"/>
    <mergeCell ref="A11:E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3EF1-06A8-489C-952A-C1FAC3360C4A}">
  <dimension ref="A5:AD31"/>
  <sheetViews>
    <sheetView tabSelected="1" zoomScale="55" zoomScaleNormal="55" workbookViewId="0">
      <selection activeCell="AI32" sqref="AI32"/>
    </sheetView>
  </sheetViews>
  <sheetFormatPr defaultRowHeight="14.4" x14ac:dyDescent="0.3"/>
  <sheetData>
    <row r="5" spans="1:30" x14ac:dyDescent="0.3">
      <c r="D5" s="55" t="s">
        <v>41</v>
      </c>
      <c r="E5">
        <v>-0.5</v>
      </c>
      <c r="F5">
        <v>-0.4</v>
      </c>
      <c r="G5">
        <v>-0.3</v>
      </c>
      <c r="H5">
        <v>-0.2</v>
      </c>
      <c r="I5">
        <v>-0.1</v>
      </c>
      <c r="J5">
        <v>0</v>
      </c>
      <c r="K5">
        <v>0.1</v>
      </c>
      <c r="L5">
        <v>0.2</v>
      </c>
      <c r="M5">
        <v>0.3</v>
      </c>
      <c r="N5">
        <v>0.4</v>
      </c>
      <c r="O5">
        <v>0.5</v>
      </c>
      <c r="P5">
        <v>0.6</v>
      </c>
      <c r="Q5">
        <v>0.7</v>
      </c>
      <c r="R5">
        <v>0.8</v>
      </c>
      <c r="S5">
        <v>0.9</v>
      </c>
      <c r="T5">
        <v>1</v>
      </c>
      <c r="U5">
        <v>1.1000000000000001</v>
      </c>
      <c r="V5">
        <v>1.2</v>
      </c>
      <c r="W5">
        <v>1.3</v>
      </c>
      <c r="X5">
        <v>1.4</v>
      </c>
      <c r="Y5">
        <v>1.5</v>
      </c>
      <c r="Z5">
        <v>1.6</v>
      </c>
      <c r="AA5">
        <v>1.7</v>
      </c>
      <c r="AB5">
        <v>1.8</v>
      </c>
      <c r="AC5">
        <v>1.9</v>
      </c>
      <c r="AD5">
        <v>2</v>
      </c>
    </row>
    <row r="6" spans="1:30" x14ac:dyDescent="0.3">
      <c r="A6" s="42" t="s">
        <v>37</v>
      </c>
      <c r="B6">
        <v>0.80658777854366326</v>
      </c>
      <c r="C6" s="55" t="s">
        <v>38</v>
      </c>
      <c r="D6">
        <v>-0.5</v>
      </c>
      <c r="E6">
        <f t="shared" ref="E6:T10" si="0">(TAN($D6*E$5+0.1)-E$5^2)^2+(E$5^2+$D6^2-1)^2</f>
        <v>0.263231554622953</v>
      </c>
      <c r="F6">
        <f t="shared" si="0"/>
        <v>0.37040131544746768</v>
      </c>
      <c r="G6">
        <f t="shared" si="0"/>
        <v>0.46293795091306339</v>
      </c>
      <c r="H6">
        <f t="shared" si="0"/>
        <v>0.53057455565523348</v>
      </c>
      <c r="I6">
        <f t="shared" si="0"/>
        <v>0.56751914977636253</v>
      </c>
      <c r="J6">
        <f t="shared" si="0"/>
        <v>0.5725670464224949</v>
      </c>
      <c r="K6">
        <f t="shared" si="0"/>
        <v>0.54920333840963165</v>
      </c>
      <c r="L6">
        <f t="shared" si="0"/>
        <v>0.50570000000000004</v>
      </c>
      <c r="M6">
        <f t="shared" si="0"/>
        <v>0.4552116800847395</v>
      </c>
      <c r="N6">
        <f t="shared" si="0"/>
        <v>0.41587414148983903</v>
      </c>
      <c r="O6">
        <f t="shared" si="0"/>
        <v>0.41090946316667598</v>
      </c>
      <c r="P6">
        <f t="shared" si="0"/>
        <v>0.46874258406217145</v>
      </c>
      <c r="Q6">
        <f t="shared" si="0"/>
        <v>0.62313457952946527</v>
      </c>
      <c r="R6">
        <f t="shared" si="0"/>
        <v>0.91333931482286512</v>
      </c>
      <c r="S6">
        <f t="shared" si="0"/>
        <v>1.3842919636634532</v>
      </c>
      <c r="T6">
        <f t="shared" si="0"/>
        <v>2.0868405432872987</v>
      </c>
      <c r="U6">
        <f t="shared" ref="U6:AD10" si="1">(TAN($D6*U$5+0.1)-U$5^2)^2+(U$5^2+$D6^2-1)^2</f>
        <v>3.0780354552099576</v>
      </c>
      <c r="V6">
        <f t="shared" si="1"/>
        <v>4.4214975811596409</v>
      </c>
      <c r="W6">
        <f t="shared" si="1"/>
        <v>6.1878936234749906</v>
      </c>
      <c r="X6">
        <f t="shared" si="1"/>
        <v>8.4555594612273879</v>
      </c>
      <c r="Y6">
        <f t="shared" si="1"/>
        <v>11.311330524563736</v>
      </c>
      <c r="Z6">
        <f t="shared" si="1"/>
        <v>14.851666223834091</v>
      </c>
      <c r="AA6">
        <f t="shared" si="1"/>
        <v>19.184199502657062</v>
      </c>
      <c r="AB6">
        <f t="shared" si="1"/>
        <v>24.429913407851117</v>
      </c>
      <c r="AC6">
        <f t="shared" si="1"/>
        <v>30.726263555515352</v>
      </c>
      <c r="AD6">
        <f t="shared" si="1"/>
        <v>38.231764473662366</v>
      </c>
    </row>
    <row r="7" spans="1:30" x14ac:dyDescent="0.3">
      <c r="A7" s="42" t="s">
        <v>38</v>
      </c>
      <c r="B7">
        <v>0.59111434832944765</v>
      </c>
      <c r="C7" s="56" t="s">
        <v>40</v>
      </c>
      <c r="D7">
        <v>-0.4</v>
      </c>
      <c r="E7">
        <f t="shared" si="0"/>
        <v>0.35162079051773548</v>
      </c>
      <c r="F7">
        <f t="shared" si="0"/>
        <v>0.47364056731001414</v>
      </c>
      <c r="G7">
        <f t="shared" si="0"/>
        <v>0.58035414980698774</v>
      </c>
      <c r="H7">
        <f t="shared" si="0"/>
        <v>0.66015534717589563</v>
      </c>
      <c r="I7">
        <f t="shared" si="0"/>
        <v>0.70604054259003102</v>
      </c>
      <c r="J7">
        <f t="shared" si="0"/>
        <v>0.71566704642249479</v>
      </c>
      <c r="K7">
        <f t="shared" si="0"/>
        <v>0.69140721558209217</v>
      </c>
      <c r="L7">
        <f t="shared" si="0"/>
        <v>0.64039989332337721</v>
      </c>
      <c r="M7">
        <f t="shared" si="0"/>
        <v>0.5746005867676619</v>
      </c>
      <c r="N7">
        <f t="shared" si="0"/>
        <v>0.51083173088473321</v>
      </c>
      <c r="O7">
        <f t="shared" si="0"/>
        <v>0.47083438246522014</v>
      </c>
      <c r="P7">
        <f t="shared" si="0"/>
        <v>0.48132274488901389</v>
      </c>
      <c r="Q7">
        <f t="shared" si="0"/>
        <v>0.57404304795850603</v>
      </c>
      <c r="R7">
        <f t="shared" si="0"/>
        <v>0.7858385052242669</v>
      </c>
      <c r="S7">
        <f t="shared" si="0"/>
        <v>1.1587223582589692</v>
      </c>
      <c r="T7">
        <f t="shared" si="0"/>
        <v>1.7399614145417936</v>
      </c>
      <c r="U7">
        <f t="shared" si="1"/>
        <v>2.5821730237395424</v>
      </c>
      <c r="V7">
        <f t="shared" si="1"/>
        <v>3.7434391598439642</v>
      </c>
      <c r="W7">
        <f t="shared" si="1"/>
        <v>5.28744224553704</v>
      </c>
      <c r="X7">
        <f t="shared" si="1"/>
        <v>7.2836286577707101</v>
      </c>
      <c r="Y7">
        <f t="shared" si="1"/>
        <v>9.8074076147065838</v>
      </c>
      <c r="Z7">
        <f t="shared" si="1"/>
        <v>12.940395543716678</v>
      </c>
      <c r="AA7">
        <f t="shared" si="1"/>
        <v>16.770719330094078</v>
      </c>
      <c r="AB7">
        <f t="shared" si="1"/>
        <v>21.393396432941064</v>
      </c>
      <c r="AC7">
        <f t="shared" si="1"/>
        <v>26.910816306471318</v>
      </c>
      <c r="AD7">
        <f t="shared" si="1"/>
        <v>33.433356759567758</v>
      </c>
    </row>
    <row r="8" spans="1:30" x14ac:dyDescent="0.3">
      <c r="A8" s="42">
        <v>1</v>
      </c>
      <c r="B8">
        <f>TAN(B6*B7+0.1)-B6^2</f>
        <v>8.8934001163387677E-8</v>
      </c>
      <c r="D8">
        <v>-0.3</v>
      </c>
      <c r="E8">
        <f t="shared" si="0"/>
        <v>0.43562853612233182</v>
      </c>
      <c r="F8">
        <f t="shared" si="0"/>
        <v>0.56654743079437198</v>
      </c>
      <c r="G8">
        <f t="shared" si="0"/>
        <v>0.6828693491573703</v>
      </c>
      <c r="H8">
        <f t="shared" si="0"/>
        <v>0.77163297348837068</v>
      </c>
      <c r="I8">
        <f t="shared" si="0"/>
        <v>0.82457749995891017</v>
      </c>
      <c r="J8">
        <f t="shared" si="0"/>
        <v>0.83816704642249495</v>
      </c>
      <c r="K8">
        <f t="shared" si="0"/>
        <v>0.81361376006814645</v>
      </c>
      <c r="L8">
        <f t="shared" si="0"/>
        <v>0.75690000045569428</v>
      </c>
      <c r="M8">
        <f t="shared" si="0"/>
        <v>0.67879994666464449</v>
      </c>
      <c r="N8">
        <f t="shared" si="0"/>
        <v>0.59490096016073823</v>
      </c>
      <c r="O8">
        <f t="shared" si="0"/>
        <v>0.52562502676491185</v>
      </c>
      <c r="P8">
        <f t="shared" si="0"/>
        <v>0.496250601419925</v>
      </c>
      <c r="Q8">
        <f t="shared" si="0"/>
        <v>0.53693518825800646</v>
      </c>
      <c r="R8">
        <f t="shared" si="0"/>
        <v>0.68273900608824423</v>
      </c>
      <c r="S8">
        <f t="shared" si="0"/>
        <v>0.97365011651318323</v>
      </c>
      <c r="T8">
        <f t="shared" si="0"/>
        <v>1.4546114295132719</v>
      </c>
      <c r="U8">
        <f t="shared" si="1"/>
        <v>2.1755500510237962</v>
      </c>
      <c r="V8">
        <f t="shared" si="1"/>
        <v>3.1914095008340633</v>
      </c>
      <c r="W8">
        <f t="shared" si="1"/>
        <v>4.5621854097928134</v>
      </c>
      <c r="X8">
        <f t="shared" si="1"/>
        <v>6.352965406373869</v>
      </c>
      <c r="Y8">
        <f t="shared" si="1"/>
        <v>8.633974028775075</v>
      </c>
      <c r="Z8">
        <f t="shared" si="1"/>
        <v>11.480623655899194</v>
      </c>
      <c r="AA8">
        <f t="shared" si="1"/>
        <v>14.973572646599308</v>
      </c>
      <c r="AB8">
        <f t="shared" si="1"/>
        <v>19.198792121622787</v>
      </c>
      <c r="AC8">
        <f t="shared" si="1"/>
        <v>24.247643130048264</v>
      </c>
      <c r="AD8">
        <f t="shared" si="1"/>
        <v>30.216966329159845</v>
      </c>
    </row>
    <row r="9" spans="1:30" x14ac:dyDescent="0.3">
      <c r="A9" s="42">
        <v>2</v>
      </c>
      <c r="B9">
        <f>B6^2+B7^2-1</f>
        <v>1.7296949206269119E-8</v>
      </c>
      <c r="D9">
        <v>-0.2</v>
      </c>
      <c r="E9">
        <f t="shared" si="0"/>
        <v>0.50633634074159106</v>
      </c>
      <c r="F9">
        <f t="shared" si="0"/>
        <v>0.640482660206248</v>
      </c>
      <c r="G9">
        <f t="shared" si="0"/>
        <v>0.76199502741484959</v>
      </c>
      <c r="H9">
        <f t="shared" si="0"/>
        <v>0.85658522889011335</v>
      </c>
      <c r="I9">
        <f t="shared" si="0"/>
        <v>0.91472778981809155</v>
      </c>
      <c r="J9">
        <f t="shared" si="0"/>
        <v>0.93166704642249487</v>
      </c>
      <c r="K9">
        <f t="shared" si="0"/>
        <v>0.90742398393595125</v>
      </c>
      <c r="L9">
        <f t="shared" si="0"/>
        <v>0.84680288935221415</v>
      </c>
      <c r="M9">
        <f t="shared" si="0"/>
        <v>0.75939786575614276</v>
      </c>
      <c r="N9">
        <f t="shared" si="0"/>
        <v>0.65959925322096058</v>
      </c>
      <c r="O9">
        <f t="shared" si="0"/>
        <v>0.56659999999999999</v>
      </c>
      <c r="P9">
        <f t="shared" si="0"/>
        <v>0.50440202699809922</v>
      </c>
      <c r="Q9">
        <f t="shared" si="0"/>
        <v>0.50182262827093971</v>
      </c>
      <c r="R9">
        <f t="shared" si="0"/>
        <v>0.59250095056277885</v>
      </c>
      <c r="S9">
        <f t="shared" si="0"/>
        <v>0.81490459565719031</v>
      </c>
      <c r="T9">
        <f t="shared" si="0"/>
        <v>1.2123363905933959</v>
      </c>
      <c r="U9">
        <f t="shared" si="1"/>
        <v>1.8329413726136772</v>
      </c>
      <c r="V9">
        <f t="shared" si="1"/>
        <v>2.7297140380860441</v>
      </c>
      <c r="W9">
        <f t="shared" si="1"/>
        <v>3.9605059076322018</v>
      </c>
      <c r="X9">
        <f t="shared" si="1"/>
        <v>5.5880334633366893</v>
      </c>
      <c r="Y9">
        <f t="shared" si="1"/>
        <v>7.6798865182849543</v>
      </c>
      <c r="Z9">
        <f t="shared" si="1"/>
        <v>10.308537083856018</v>
      </c>
      <c r="AA9">
        <f t="shared" si="1"/>
        <v>13.551348806277044</v>
      </c>
      <c r="AB9">
        <f t="shared" si="1"/>
        <v>17.490587051048621</v>
      </c>
      <c r="AC9">
        <f t="shared" si="1"/>
        <v>22.213429722109996</v>
      </c>
      <c r="AD9">
        <f t="shared" si="1"/>
        <v>27.811978912199535</v>
      </c>
    </row>
    <row r="10" spans="1:30" x14ac:dyDescent="0.3">
      <c r="D10">
        <v>-0.1</v>
      </c>
      <c r="E10">
        <f t="shared" si="0"/>
        <v>0.55737424510838085</v>
      </c>
      <c r="F10">
        <f t="shared" si="0"/>
        <v>0.68926397409044349</v>
      </c>
      <c r="G10">
        <f t="shared" si="0"/>
        <v>0.81165952907819661</v>
      </c>
      <c r="H10">
        <f t="shared" si="0"/>
        <v>0.90899302958541317</v>
      </c>
      <c r="I10">
        <f t="shared" si="0"/>
        <v>0.97048936367596594</v>
      </c>
      <c r="J10">
        <f t="shared" si="0"/>
        <v>0.99016704642249487</v>
      </c>
      <c r="K10">
        <f t="shared" si="0"/>
        <v>0.96683906581908574</v>
      </c>
      <c r="L10">
        <f t="shared" si="0"/>
        <v>0.90411371765346693</v>
      </c>
      <c r="M10">
        <f t="shared" si="0"/>
        <v>0.81039543080862597</v>
      </c>
      <c r="N10">
        <f t="shared" si="0"/>
        <v>0.69888558443270299</v>
      </c>
      <c r="O10">
        <f t="shared" si="0"/>
        <v>0.58758331838937305</v>
      </c>
      <c r="P10">
        <f t="shared" si="0"/>
        <v>0.4992863383785649</v>
      </c>
      <c r="Q10">
        <f t="shared" si="0"/>
        <v>0.46159171709917202</v>
      </c>
      <c r="R10">
        <f t="shared" si="0"/>
        <v>0.50689669281129457</v>
      </c>
      <c r="S10">
        <f t="shared" si="0"/>
        <v>0.6723994666454437</v>
      </c>
      <c r="T10">
        <f t="shared" si="0"/>
        <v>1.0001</v>
      </c>
      <c r="U10">
        <f t="shared" si="1"/>
        <v>1.5368008133659794</v>
      </c>
      <c r="V10">
        <f t="shared" si="1"/>
        <v>2.3341077879198484</v>
      </c>
      <c r="W10">
        <f t="shared" si="1"/>
        <v>3.4484309712307204</v>
      </c>
      <c r="X10">
        <f t="shared" si="1"/>
        <v>4.9409853884377508</v>
      </c>
      <c r="Y10">
        <f t="shared" si="1"/>
        <v>6.8777918602670667</v>
      </c>
      <c r="Z10">
        <f t="shared" si="1"/>
        <v>9.3296778292749636</v>
      </c>
      <c r="AA10">
        <f t="shared" si="1"/>
        <v>12.372278195725757</v>
      </c>
      <c r="AB10">
        <f t="shared" si="1"/>
        <v>16.086036164538424</v>
      </c>
      <c r="AC10">
        <f t="shared" si="1"/>
        <v>20.556204104765932</v>
      </c>
      <c r="AD10">
        <f t="shared" si="1"/>
        <v>25.872844423106098</v>
      </c>
    </row>
    <row r="11" spans="1:30" x14ac:dyDescent="0.3">
      <c r="D11">
        <v>0</v>
      </c>
      <c r="E11">
        <f t="shared" ref="E11:E31" si="2">(TAN($D11*E$5+0.1)-E$5^2)^2+(E$5^2+$D11^2-1)^2</f>
        <v>0.58489971037976962</v>
      </c>
      <c r="F11">
        <f t="shared" ref="F11:AD11" si="3">(TAN($D11*F$5+0.1)-F$5^2)^2+(F$5^2+$D11^2-1)^2</f>
        <v>0.70915995135515064</v>
      </c>
      <c r="G11">
        <f t="shared" si="3"/>
        <v>0.82820680544711389</v>
      </c>
      <c r="H11">
        <f t="shared" si="3"/>
        <v>0.92524027265565878</v>
      </c>
      <c r="I11">
        <f t="shared" si="3"/>
        <v>0.98826035298078585</v>
      </c>
      <c r="J11">
        <f t="shared" si="3"/>
        <v>1.0100670464224948</v>
      </c>
      <c r="K11">
        <f t="shared" si="3"/>
        <v>0.98826035298078585</v>
      </c>
      <c r="L11">
        <f t="shared" si="3"/>
        <v>0.92524027265565878</v>
      </c>
      <c r="M11">
        <f t="shared" si="3"/>
        <v>0.82820680544711389</v>
      </c>
      <c r="N11">
        <f t="shared" si="3"/>
        <v>0.70915995135515064</v>
      </c>
      <c r="O11">
        <f t="shared" si="3"/>
        <v>0.58489971037976962</v>
      </c>
      <c r="P11">
        <f t="shared" si="3"/>
        <v>0.47702608252097051</v>
      </c>
      <c r="Q11">
        <f t="shared" si="3"/>
        <v>0.41193906777875333</v>
      </c>
      <c r="R11">
        <f t="shared" si="3"/>
        <v>0.42083866615311827</v>
      </c>
      <c r="S11">
        <f t="shared" si="3"/>
        <v>0.53972487764406507</v>
      </c>
      <c r="T11">
        <f t="shared" si="3"/>
        <v>0.8093977022515938</v>
      </c>
      <c r="U11">
        <f t="shared" si="3"/>
        <v>1.2754571399757051</v>
      </c>
      <c r="V11">
        <f t="shared" si="3"/>
        <v>1.9883031908163971</v>
      </c>
      <c r="W11">
        <f t="shared" si="3"/>
        <v>3.0031358547736726</v>
      </c>
      <c r="X11">
        <f t="shared" si="3"/>
        <v>4.3799551318475274</v>
      </c>
      <c r="Y11">
        <f t="shared" si="3"/>
        <v>6.1835610220379671</v>
      </c>
      <c r="Z11">
        <f t="shared" si="3"/>
        <v>8.4835535253449912</v>
      </c>
      <c r="AA11">
        <f t="shared" si="3"/>
        <v>11.354332641768588</v>
      </c>
      <c r="AB11">
        <f t="shared" si="3"/>
        <v>14.875098371308777</v>
      </c>
      <c r="AC11">
        <f t="shared" si="3"/>
        <v>19.129850713965538</v>
      </c>
      <c r="AD11">
        <f t="shared" si="3"/>
        <v>24.207389669738891</v>
      </c>
    </row>
    <row r="12" spans="1:30" x14ac:dyDescent="0.3">
      <c r="D12">
        <v>0.1</v>
      </c>
      <c r="E12">
        <f t="shared" si="2"/>
        <v>0.58758331838937305</v>
      </c>
      <c r="F12">
        <f t="shared" ref="F12:O21" si="4">(TAN($D12*F$5+0.1)-F$5^2)^2+(F$5^2+$D12^2-1)^2</f>
        <v>0.69888558443270299</v>
      </c>
      <c r="G12">
        <f t="shared" si="4"/>
        <v>0.81039543080862597</v>
      </c>
      <c r="H12">
        <f t="shared" si="4"/>
        <v>0.90411371765346693</v>
      </c>
      <c r="I12">
        <f t="shared" si="4"/>
        <v>0.96683906581908574</v>
      </c>
      <c r="J12">
        <f t="shared" si="4"/>
        <v>0.99016704642249487</v>
      </c>
      <c r="K12">
        <f t="shared" si="4"/>
        <v>0.97048936367596594</v>
      </c>
      <c r="L12">
        <f t="shared" si="4"/>
        <v>0.90899302958541317</v>
      </c>
      <c r="M12">
        <f t="shared" si="4"/>
        <v>0.81165952907819661</v>
      </c>
      <c r="N12">
        <f t="shared" si="4"/>
        <v>0.68926397409044349</v>
      </c>
      <c r="O12">
        <f t="shared" si="4"/>
        <v>0.55737424510838085</v>
      </c>
      <c r="P12">
        <f t="shared" ref="P12:AD21" si="5">(TAN($D12*P$5+0.1)-P$5^2)^2+(P$5^2+$D12^2-1)^2</f>
        <v>0.43635011861783563</v>
      </c>
      <c r="Q12">
        <f t="shared" si="5"/>
        <v>0.3513423788708121</v>
      </c>
      <c r="R12">
        <f t="shared" si="5"/>
        <v>0.33229191232765759</v>
      </c>
      <c r="S12">
        <f t="shared" si="5"/>
        <v>0.41392878307754682</v>
      </c>
      <c r="T12">
        <f t="shared" si="5"/>
        <v>0.63577128747858225</v>
      </c>
      <c r="U12">
        <f t="shared" si="5"/>
        <v>1.0421249861914077</v>
      </c>
      <c r="V12">
        <f t="shared" si="5"/>
        <v>1.6820817117065403</v>
      </c>
      <c r="W12">
        <f t="shared" si="5"/>
        <v>2.6095185493852977</v>
      </c>
      <c r="X12">
        <f t="shared" si="5"/>
        <v>3.8830967899467357</v>
      </c>
      <c r="Y12">
        <f t="shared" si="5"/>
        <v>5.5662608512381855</v>
      </c>
      <c r="Z12">
        <f t="shared" si="5"/>
        <v>7.7272371670239437</v>
      </c>
      <c r="AA12">
        <f t="shared" si="5"/>
        <v>10.439033040415342</v>
      </c>
      <c r="AB12">
        <f t="shared" si="5"/>
        <v>13.779435459444914</v>
      </c>
      <c r="AC12">
        <f t="shared" si="5"/>
        <v>17.831009872156834</v>
      </c>
      <c r="AD12">
        <f t="shared" si="5"/>
        <v>22.68109891844556</v>
      </c>
    </row>
    <row r="13" spans="1:30" x14ac:dyDescent="0.3">
      <c r="D13">
        <v>0.2</v>
      </c>
      <c r="E13">
        <f t="shared" si="2"/>
        <v>0.56659999999999999</v>
      </c>
      <c r="F13">
        <f t="shared" si="4"/>
        <v>0.65959925322096058</v>
      </c>
      <c r="G13">
        <f t="shared" si="4"/>
        <v>0.75939786575614276</v>
      </c>
      <c r="H13">
        <f t="shared" si="4"/>
        <v>0.84680288935221415</v>
      </c>
      <c r="I13">
        <f t="shared" si="4"/>
        <v>0.90742398393595125</v>
      </c>
      <c r="J13">
        <f t="shared" si="4"/>
        <v>0.93166704642249487</v>
      </c>
      <c r="K13">
        <f t="shared" si="4"/>
        <v>0.91472778981809155</v>
      </c>
      <c r="L13">
        <f t="shared" si="4"/>
        <v>0.85658522889011335</v>
      </c>
      <c r="M13">
        <f t="shared" si="4"/>
        <v>0.76199502741484959</v>
      </c>
      <c r="N13">
        <f t="shared" si="4"/>
        <v>0.640482660206248</v>
      </c>
      <c r="O13">
        <f t="shared" si="4"/>
        <v>0.50633634074159106</v>
      </c>
      <c r="P13">
        <f t="shared" si="5"/>
        <v>0.37859966218689833</v>
      </c>
      <c r="Q13">
        <f t="shared" si="5"/>
        <v>0.28106389592726422</v>
      </c>
      <c r="R13">
        <f t="shared" si="5"/>
        <v>0.24225988725279946</v>
      </c>
      <c r="S13">
        <f t="shared" si="5"/>
        <v>0.29544948255092052</v>
      </c>
      <c r="T13">
        <f t="shared" si="5"/>
        <v>0.47861641610330063</v>
      </c>
      <c r="U13">
        <f t="shared" si="5"/>
        <v>0.83445657725222433</v>
      </c>
      <c r="V13">
        <f t="shared" si="5"/>
        <v>1.4103675701321918</v>
      </c>
      <c r="W13">
        <f t="shared" si="5"/>
        <v>2.2584374681741992</v>
      </c>
      <c r="X13">
        <f t="shared" si="5"/>
        <v>3.4354326539620241</v>
      </c>
      <c r="Y13">
        <f t="shared" si="5"/>
        <v>5.0027846214892469</v>
      </c>
      <c r="Z13">
        <f t="shared" si="5"/>
        <v>7.0265756021179833</v>
      </c>
      <c r="AA13">
        <f t="shared" si="5"/>
        <v>9.5775228571991384</v>
      </c>
      <c r="AB13">
        <f t="shared" si="5"/>
        <v>12.730961458927396</v>
      </c>
      <c r="AC13">
        <f t="shared" si="5"/>
        <v>16.566825356028648</v>
      </c>
      <c r="AD13">
        <f t="shared" si="5"/>
        <v>21.169626491659201</v>
      </c>
    </row>
    <row r="14" spans="1:30" x14ac:dyDescent="0.3">
      <c r="D14">
        <v>0.3</v>
      </c>
      <c r="E14">
        <f t="shared" si="2"/>
        <v>0.52562502676491185</v>
      </c>
      <c r="F14">
        <f t="shared" si="4"/>
        <v>0.59490096016073823</v>
      </c>
      <c r="G14">
        <f t="shared" si="4"/>
        <v>0.67879994666464449</v>
      </c>
      <c r="H14">
        <f t="shared" si="4"/>
        <v>0.75690000045569428</v>
      </c>
      <c r="I14">
        <f t="shared" si="4"/>
        <v>0.81361376006814645</v>
      </c>
      <c r="J14">
        <f t="shared" si="4"/>
        <v>0.83816704642249495</v>
      </c>
      <c r="K14">
        <f t="shared" si="4"/>
        <v>0.82457749995891017</v>
      </c>
      <c r="L14">
        <f t="shared" si="4"/>
        <v>0.77163297348837068</v>
      </c>
      <c r="M14">
        <f t="shared" si="4"/>
        <v>0.6828693491573703</v>
      </c>
      <c r="N14">
        <f t="shared" si="4"/>
        <v>0.56654743079437198</v>
      </c>
      <c r="O14">
        <f t="shared" si="4"/>
        <v>0.43562853612233182</v>
      </c>
      <c r="P14">
        <f t="shared" si="5"/>
        <v>0.30774837571869962</v>
      </c>
      <c r="Q14">
        <f t="shared" si="5"/>
        <v>0.20518875553308186</v>
      </c>
      <c r="R14">
        <f t="shared" si="5"/>
        <v>0.15484657499478824</v>
      </c>
      <c r="S14">
        <f t="shared" si="5"/>
        <v>0.18819951028719589</v>
      </c>
      <c r="T14">
        <f t="shared" si="5"/>
        <v>0.34126766833465155</v>
      </c>
      <c r="U14">
        <f t="shared" si="5"/>
        <v>0.65457036634789501</v>
      </c>
      <c r="V14">
        <f t="shared" si="5"/>
        <v>1.173077027757774</v>
      </c>
      <c r="W14">
        <f t="shared" si="5"/>
        <v>1.946150979339325</v>
      </c>
      <c r="X14">
        <f t="shared" si="5"/>
        <v>3.0274846748745992</v>
      </c>
      <c r="Y14">
        <f t="shared" si="5"/>
        <v>4.4750245427644799</v>
      </c>
      <c r="Z14">
        <f t="shared" si="5"/>
        <v>6.3508832385936422</v>
      </c>
      <c r="AA14">
        <f t="shared" si="5"/>
        <v>8.7212365520837984</v>
      </c>
      <c r="AB14">
        <f t="shared" si="5"/>
        <v>11.656201535215558</v>
      </c>
      <c r="AC14">
        <f t="shared" si="5"/>
        <v>15.229691535836336</v>
      </c>
      <c r="AD14">
        <f t="shared" si="5"/>
        <v>19.51924267215848</v>
      </c>
    </row>
    <row r="15" spans="1:30" x14ac:dyDescent="0.3">
      <c r="D15">
        <v>0.4</v>
      </c>
      <c r="E15">
        <f t="shared" si="2"/>
        <v>0.47083438246522014</v>
      </c>
      <c r="F15">
        <f t="shared" si="4"/>
        <v>0.51083173088473321</v>
      </c>
      <c r="G15">
        <f t="shared" si="4"/>
        <v>0.5746005867676619</v>
      </c>
      <c r="H15">
        <f t="shared" si="4"/>
        <v>0.64039989332337721</v>
      </c>
      <c r="I15">
        <f t="shared" si="4"/>
        <v>0.69140721558209217</v>
      </c>
      <c r="J15">
        <f t="shared" si="4"/>
        <v>0.71566704642249479</v>
      </c>
      <c r="K15">
        <f t="shared" si="4"/>
        <v>0.70604054259003102</v>
      </c>
      <c r="L15">
        <f t="shared" si="4"/>
        <v>0.66015534717589563</v>
      </c>
      <c r="M15">
        <f t="shared" si="4"/>
        <v>0.58035414980698774</v>
      </c>
      <c r="N15">
        <f t="shared" si="4"/>
        <v>0.47364056731001414</v>
      </c>
      <c r="O15">
        <f t="shared" si="4"/>
        <v>0.35162079051773548</v>
      </c>
      <c r="P15">
        <f t="shared" si="5"/>
        <v>0.23043922669669681</v>
      </c>
      <c r="Q15">
        <f t="shared" si="5"/>
        <v>0.1307060550345108</v>
      </c>
      <c r="R15">
        <f t="shared" si="5"/>
        <v>7.7414179850825077E-2</v>
      </c>
      <c r="S15">
        <f t="shared" si="5"/>
        <v>9.9842476848406372E-2</v>
      </c>
      <c r="T15">
        <f t="shared" si="5"/>
        <v>0.23144143072194387</v>
      </c>
      <c r="U15">
        <f t="shared" si="5"/>
        <v>0.5096961850714995</v>
      </c>
      <c r="V15">
        <f t="shared" si="5"/>
        <v>0.97596056381941743</v>
      </c>
      <c r="W15">
        <f t="shared" si="5"/>
        <v>1.6752536272809517</v>
      </c>
      <c r="X15">
        <f t="shared" si="5"/>
        <v>2.6560075773929088</v>
      </c>
      <c r="Y15">
        <f t="shared" si="5"/>
        <v>3.9697520037792597</v>
      </c>
      <c r="Z15">
        <f t="shared" si="5"/>
        <v>5.6707140854106637</v>
      </c>
      <c r="AA15">
        <f t="shared" si="5"/>
        <v>7.8153067051966847</v>
      </c>
      <c r="AB15">
        <f t="shared" si="5"/>
        <v>10.461465380583032</v>
      </c>
      <c r="AC15">
        <f t="shared" si="5"/>
        <v>13.667778718215629</v>
      </c>
      <c r="AD15">
        <f t="shared" si="5"/>
        <v>17.492332992856937</v>
      </c>
    </row>
    <row r="16" spans="1:30" x14ac:dyDescent="0.3">
      <c r="D16">
        <v>0.5</v>
      </c>
      <c r="E16">
        <f t="shared" si="2"/>
        <v>0.41090946316667598</v>
      </c>
      <c r="F16">
        <f t="shared" si="4"/>
        <v>0.41587414148983903</v>
      </c>
      <c r="G16">
        <f t="shared" si="4"/>
        <v>0.4552116800847395</v>
      </c>
      <c r="H16">
        <f t="shared" si="4"/>
        <v>0.50570000000000004</v>
      </c>
      <c r="I16">
        <f t="shared" si="4"/>
        <v>0.54920333840963165</v>
      </c>
      <c r="J16">
        <f t="shared" si="4"/>
        <v>0.5725670464224949</v>
      </c>
      <c r="K16">
        <f t="shared" si="4"/>
        <v>0.56751914977636253</v>
      </c>
      <c r="L16">
        <f t="shared" si="4"/>
        <v>0.53057455565523348</v>
      </c>
      <c r="M16">
        <f t="shared" si="4"/>
        <v>0.46293795091306339</v>
      </c>
      <c r="N16">
        <f t="shared" si="4"/>
        <v>0.37040131544746768</v>
      </c>
      <c r="O16">
        <f t="shared" si="4"/>
        <v>0.263231554622953</v>
      </c>
      <c r="P16">
        <f t="shared" si="5"/>
        <v>0.15604298831949864</v>
      </c>
      <c r="Q16">
        <f t="shared" si="5"/>
        <v>6.7648232113590043E-2</v>
      </c>
      <c r="R16" s="43">
        <f t="shared" si="5"/>
        <v>2.0879223409472979E-2</v>
      </c>
      <c r="S16">
        <f t="shared" si="5"/>
        <v>4.2367557034310555E-2</v>
      </c>
      <c r="T16">
        <f t="shared" si="5"/>
        <v>0.16226955584457281</v>
      </c>
      <c r="U16">
        <f t="shared" si="5"/>
        <v>0.4139160825586975</v>
      </c>
      <c r="V16">
        <f t="shared" si="5"/>
        <v>0.83335918012944843</v>
      </c>
      <c r="W16">
        <f t="shared" si="5"/>
        <v>1.4587759295693634</v>
      </c>
      <c r="X16">
        <f t="shared" si="5"/>
        <v>2.3296724145273284</v>
      </c>
      <c r="Y16">
        <f t="shared" si="5"/>
        <v>3.4858041564780433</v>
      </c>
      <c r="Z16">
        <f t="shared" si="5"/>
        <v>4.9656886594019145</v>
      </c>
      <c r="AA16">
        <f t="shared" si="5"/>
        <v>6.8045224999400666</v>
      </c>
      <c r="AB16">
        <f t="shared" si="5"/>
        <v>9.0312167650509956</v>
      </c>
      <c r="AC16">
        <f t="shared" si="5"/>
        <v>11.664111731943226</v>
      </c>
      <c r="AD16">
        <f t="shared" si="5"/>
        <v>14.704703252762624</v>
      </c>
    </row>
    <row r="17" spans="4:30" x14ac:dyDescent="0.3">
      <c r="D17">
        <v>0.6</v>
      </c>
      <c r="E17">
        <f t="shared" si="2"/>
        <v>0.35704637625026353</v>
      </c>
      <c r="F17">
        <f t="shared" si="4"/>
        <v>0.32095398688956372</v>
      </c>
      <c r="G17">
        <f t="shared" si="4"/>
        <v>0.33145820487756583</v>
      </c>
      <c r="H17">
        <f t="shared" si="4"/>
        <v>0.36360032005832166</v>
      </c>
      <c r="I17">
        <f t="shared" si="4"/>
        <v>0.39780128127542513</v>
      </c>
      <c r="J17">
        <f t="shared" si="4"/>
        <v>0.41966704642249492</v>
      </c>
      <c r="K17">
        <f t="shared" si="4"/>
        <v>0.41981574113248332</v>
      </c>
      <c r="L17">
        <f t="shared" si="4"/>
        <v>0.39371609195885615</v>
      </c>
      <c r="M17">
        <f t="shared" si="4"/>
        <v>0.34152771161936712</v>
      </c>
      <c r="N17">
        <f t="shared" si="4"/>
        <v>0.2679339779123458</v>
      </c>
      <c r="O17">
        <f t="shared" si="4"/>
        <v>0.18195749644189424</v>
      </c>
      <c r="P17">
        <f t="shared" si="5"/>
        <v>9.6746369056001064E-2</v>
      </c>
      <c r="Q17" s="43">
        <f t="shared" si="5"/>
        <v>2.9316455814505357E-2</v>
      </c>
      <c r="R17" s="43">
        <f t="shared" si="5"/>
        <v>2.3008183783049431E-4</v>
      </c>
      <c r="S17" s="43">
        <f t="shared" si="5"/>
        <v>3.3184511209440756E-2</v>
      </c>
      <c r="T17">
        <f t="shared" si="5"/>
        <v>0.15447295493695831</v>
      </c>
      <c r="U17">
        <f t="shared" si="5"/>
        <v>0.39226544430010413</v>
      </c>
      <c r="V17">
        <f t="shared" si="5"/>
        <v>0.77563478209089576</v>
      </c>
      <c r="W17">
        <f t="shared" si="5"/>
        <v>1.3332225564920921</v>
      </c>
      <c r="X17">
        <f t="shared" si="5"/>
        <v>2.0914038983358805</v>
      </c>
      <c r="Y17">
        <f t="shared" si="5"/>
        <v>3.0717840598676998</v>
      </c>
      <c r="Z17">
        <f t="shared" si="5"/>
        <v>4.2879168418479772</v>
      </c>
      <c r="AA17">
        <f t="shared" si="5"/>
        <v>5.7415497312464598</v>
      </c>
      <c r="AB17">
        <f t="shared" si="5"/>
        <v>7.4205359673116309</v>
      </c>
      <c r="AC17">
        <f t="shared" si="5"/>
        <v>9.3082019187467608</v>
      </c>
      <c r="AD17">
        <f t="shared" si="5"/>
        <v>11.447922461913077</v>
      </c>
    </row>
    <row r="18" spans="4:30" x14ac:dyDescent="0.3">
      <c r="D18">
        <v>0.7</v>
      </c>
      <c r="E18">
        <f t="shared" si="2"/>
        <v>0.32297045734336793</v>
      </c>
      <c r="F18">
        <f t="shared" si="4"/>
        <v>0.23944315879197525</v>
      </c>
      <c r="G18">
        <f t="shared" si="4"/>
        <v>0.21657852859237417</v>
      </c>
      <c r="H18">
        <f t="shared" si="4"/>
        <v>0.22730341597497661</v>
      </c>
      <c r="I18">
        <f t="shared" si="4"/>
        <v>0.25040036021070561</v>
      </c>
      <c r="J18">
        <f t="shared" si="4"/>
        <v>0.27016704642249489</v>
      </c>
      <c r="K18">
        <f t="shared" si="4"/>
        <v>0.27613292815414914</v>
      </c>
      <c r="L18">
        <f t="shared" si="4"/>
        <v>0.26280892837028269</v>
      </c>
      <c r="M18">
        <f t="shared" si="4"/>
        <v>0.22945075959542122</v>
      </c>
      <c r="N18">
        <f t="shared" si="4"/>
        <v>0.17981845119364021</v>
      </c>
      <c r="O18">
        <f t="shared" si="4"/>
        <v>0.12191466360954761</v>
      </c>
      <c r="P18">
        <f t="shared" si="5"/>
        <v>6.7682531679939137E-2</v>
      </c>
      <c r="Q18">
        <f t="shared" si="5"/>
        <v>3.2640229893874551E-2</v>
      </c>
      <c r="R18" s="43">
        <f t="shared" si="5"/>
        <v>3.5424547300181186E-2</v>
      </c>
      <c r="S18">
        <f t="shared" si="5"/>
        <v>9.721098677321377E-2</v>
      </c>
      <c r="T18">
        <f t="shared" si="5"/>
        <v>0.24097844406402766</v>
      </c>
      <c r="U18">
        <f t="shared" si="5"/>
        <v>0.49060886251917507</v>
      </c>
      <c r="V18">
        <f t="shared" si="5"/>
        <v>0.86990775866694636</v>
      </c>
      <c r="W18">
        <f t="shared" si="5"/>
        <v>1.4019636616989435</v>
      </c>
      <c r="X18">
        <f t="shared" si="5"/>
        <v>2.1103823610899388</v>
      </c>
      <c r="Y18">
        <f t="shared" si="5"/>
        <v>3.0278403445978941</v>
      </c>
      <c r="Z18">
        <f t="shared" si="5"/>
        <v>4.2323440133781052</v>
      </c>
      <c r="AA18">
        <f t="shared" si="5"/>
        <v>5.9975663643791073</v>
      </c>
      <c r="AB18">
        <f t="shared" si="5"/>
        <v>9.5076536824252926</v>
      </c>
      <c r="AC18">
        <f t="shared" si="5"/>
        <v>21.481220565811</v>
      </c>
      <c r="AD18">
        <f t="shared" si="5"/>
        <v>114.21878494911869</v>
      </c>
    </row>
    <row r="19" spans="4:30" x14ac:dyDescent="0.3">
      <c r="D19">
        <v>0.8</v>
      </c>
      <c r="E19">
        <f t="shared" si="2"/>
        <v>0.32495704012735871</v>
      </c>
      <c r="F19">
        <f t="shared" si="4"/>
        <v>0.18716386056632989</v>
      </c>
      <c r="G19">
        <f t="shared" si="4"/>
        <v>0.12622492158975612</v>
      </c>
      <c r="H19">
        <f t="shared" si="4"/>
        <v>0.11241442596522185</v>
      </c>
      <c r="I19">
        <f t="shared" si="4"/>
        <v>0.12260005334898133</v>
      </c>
      <c r="J19">
        <f t="shared" si="4"/>
        <v>0.13966704642249481</v>
      </c>
      <c r="K19">
        <f t="shared" si="4"/>
        <v>0.15207351891830756</v>
      </c>
      <c r="L19">
        <f t="shared" si="4"/>
        <v>0.15348573732431783</v>
      </c>
      <c r="M19">
        <f t="shared" si="4"/>
        <v>0.1424571408378229</v>
      </c>
      <c r="N19">
        <f t="shared" si="4"/>
        <v>0.12212382428403634</v>
      </c>
      <c r="O19">
        <f t="shared" si="4"/>
        <v>9.9895165487629528E-2</v>
      </c>
      <c r="P19">
        <f t="shared" si="5"/>
        <v>8.7124413144275076E-2</v>
      </c>
      <c r="Q19">
        <f t="shared" si="5"/>
        <v>9.8756021153280263E-2</v>
      </c>
      <c r="R19">
        <f t="shared" si="5"/>
        <v>0.15297789318397567</v>
      </c>
      <c r="S19">
        <f t="shared" si="5"/>
        <v>0.27099407261864905</v>
      </c>
      <c r="T19">
        <f t="shared" si="5"/>
        <v>0.47728229815896983</v>
      </c>
      <c r="U19">
        <f t="shared" si="5"/>
        <v>0.80143754727660799</v>
      </c>
      <c r="V19">
        <f t="shared" si="5"/>
        <v>1.2850284646185641</v>
      </c>
      <c r="W19">
        <f t="shared" si="5"/>
        <v>2.0049746431816611</v>
      </c>
      <c r="X19">
        <f t="shared" si="5"/>
        <v>3.1571490525461607</v>
      </c>
      <c r="Y19">
        <f t="shared" si="5"/>
        <v>5.4002810298010093</v>
      </c>
      <c r="Z19">
        <f t="shared" si="5"/>
        <v>11.69097848340043</v>
      </c>
      <c r="AA19">
        <f t="shared" si="5"/>
        <v>43.593914679808023</v>
      </c>
      <c r="AB19">
        <f t="shared" si="5"/>
        <v>862.16935936448772</v>
      </c>
      <c r="AC19">
        <f t="shared" si="5"/>
        <v>582.59888023374606</v>
      </c>
      <c r="AD19">
        <f t="shared" si="5"/>
        <v>150.06010160880035</v>
      </c>
    </row>
    <row r="20" spans="4:30" x14ac:dyDescent="0.3">
      <c r="D20">
        <v>0.9</v>
      </c>
      <c r="E20">
        <f t="shared" si="2"/>
        <v>0.38186004945337754</v>
      </c>
      <c r="F20">
        <f t="shared" si="4"/>
        <v>0.18239435401482412</v>
      </c>
      <c r="G20">
        <f t="shared" si="4"/>
        <v>7.8464292588177692E-2</v>
      </c>
      <c r="H20">
        <f t="shared" si="4"/>
        <v>3.6941094406758516E-2</v>
      </c>
      <c r="I20">
        <f t="shared" si="4"/>
        <v>3.2400000000111097E-2</v>
      </c>
      <c r="J20">
        <f t="shared" si="4"/>
        <v>4.6167046422494869E-2</v>
      </c>
      <c r="K20">
        <f t="shared" si="4"/>
        <v>6.5640523166239417E-2</v>
      </c>
      <c r="L20">
        <f t="shared" si="4"/>
        <v>8.3783144193564765E-2</v>
      </c>
      <c r="M20">
        <f t="shared" si="4"/>
        <v>9.8722463071618444E-2</v>
      </c>
      <c r="N20">
        <f t="shared" si="4"/>
        <v>0.11342587670382094</v>
      </c>
      <c r="O20">
        <f t="shared" si="4"/>
        <v>0.13544539591702257</v>
      </c>
      <c r="P20">
        <f t="shared" si="5"/>
        <v>0.1767739512083083</v>
      </c>
      <c r="Q20">
        <f t="shared" si="5"/>
        <v>0.2539582054905351</v>
      </c>
      <c r="R20">
        <f t="shared" si="5"/>
        <v>0.38887673831661407</v>
      </c>
      <c r="S20">
        <f t="shared" si="5"/>
        <v>0.6113277868883259</v>
      </c>
      <c r="T20">
        <f t="shared" si="5"/>
        <v>0.96680337150495554</v>
      </c>
      <c r="U20">
        <f t="shared" si="5"/>
        <v>1.5403788441833077</v>
      </c>
      <c r="V20">
        <f t="shared" si="5"/>
        <v>2.5371948683524392</v>
      </c>
      <c r="W20">
        <f t="shared" si="5"/>
        <v>4.6020307620955236</v>
      </c>
      <c r="X20">
        <f t="shared" si="5"/>
        <v>10.49566316207601</v>
      </c>
      <c r="Y20">
        <f t="shared" si="5"/>
        <v>40.100854818119366</v>
      </c>
      <c r="Z20">
        <f t="shared" si="5"/>
        <v>899.69500828597324</v>
      </c>
      <c r="AA20">
        <f t="shared" si="5"/>
        <v>397.79125851157215</v>
      </c>
      <c r="AB20">
        <f t="shared" si="5"/>
        <v>107.16285604246509</v>
      </c>
      <c r="AC20">
        <f t="shared" si="5"/>
        <v>71.148170656988682</v>
      </c>
      <c r="AD20">
        <f t="shared" si="5"/>
        <v>62.500779977854961</v>
      </c>
    </row>
    <row r="21" spans="4:30" x14ac:dyDescent="0.3">
      <c r="D21">
        <v>1</v>
      </c>
      <c r="E21">
        <f t="shared" si="2"/>
        <v>0.51515071518005606</v>
      </c>
      <c r="F21">
        <f t="shared" si="4"/>
        <v>0.24587651519762671</v>
      </c>
      <c r="G21">
        <f t="shared" si="4"/>
        <v>9.3779164887488303E-2</v>
      </c>
      <c r="H21">
        <f t="shared" si="4"/>
        <v>2.1293820189330941E-2</v>
      </c>
      <c r="I21">
        <f t="shared" si="4"/>
        <v>2.0000000000000023E-4</v>
      </c>
      <c r="J21">
        <f t="shared" si="4"/>
        <v>1.0067046422494889E-2</v>
      </c>
      <c r="K21">
        <f t="shared" si="4"/>
        <v>3.7237157785753816E-2</v>
      </c>
      <c r="L21">
        <f t="shared" si="4"/>
        <v>7.4142015353777319E-2</v>
      </c>
      <c r="M21">
        <f t="shared" si="4"/>
        <v>0.11885132643810602</v>
      </c>
      <c r="N21">
        <f t="shared" si="4"/>
        <v>0.17482961365951186</v>
      </c>
      <c r="O21">
        <f t="shared" si="4"/>
        <v>0.2509747683571113</v>
      </c>
      <c r="P21">
        <f t="shared" si="5"/>
        <v>0.36220208192969994</v>
      </c>
      <c r="Q21">
        <f t="shared" si="5"/>
        <v>0.53130977225539877</v>
      </c>
      <c r="R21">
        <f t="shared" si="5"/>
        <v>0.79419621479521385</v>
      </c>
      <c r="S21">
        <f t="shared" si="5"/>
        <v>1.2147183068738183</v>
      </c>
      <c r="T21">
        <f t="shared" si="5"/>
        <v>1.930761196254537</v>
      </c>
      <c r="U21">
        <f t="shared" si="5"/>
        <v>3.3195570416613647</v>
      </c>
      <c r="V21">
        <f t="shared" si="5"/>
        <v>6.748286995509126</v>
      </c>
      <c r="W21">
        <f t="shared" si="5"/>
        <v>19.730808619929544</v>
      </c>
      <c r="X21">
        <f t="shared" si="5"/>
        <v>151.25567833357931</v>
      </c>
      <c r="Y21">
        <f t="shared" si="5"/>
        <v>1336.037694801011</v>
      </c>
      <c r="Z21">
        <f t="shared" si="5"/>
        <v>111.75148744715796</v>
      </c>
      <c r="AA21">
        <f t="shared" si="5"/>
        <v>59.850831622735555</v>
      </c>
      <c r="AB21">
        <f t="shared" si="5"/>
        <v>48.530691755544751</v>
      </c>
      <c r="AC21">
        <f t="shared" si="5"/>
        <v>46.614587016790068</v>
      </c>
      <c r="AD21">
        <f t="shared" si="5"/>
        <v>48.602347543518562</v>
      </c>
    </row>
    <row r="22" spans="4:30" x14ac:dyDescent="0.3">
      <c r="D22">
        <v>1.1000000000000001</v>
      </c>
      <c r="E22">
        <f t="shared" si="2"/>
        <v>0.74896972922612615</v>
      </c>
      <c r="F22">
        <f t="shared" ref="F22:O31" si="6">(TAN($D22*F$5+0.1)-F$5^2)^2+(F$5^2+$D22^2-1)^2</f>
        <v>0.40082557985738454</v>
      </c>
      <c r="G22">
        <f t="shared" si="6"/>
        <v>0.19506891935651344</v>
      </c>
      <c r="H22">
        <f t="shared" si="6"/>
        <v>8.8285723539222233E-2</v>
      </c>
      <c r="I22">
        <f t="shared" si="6"/>
        <v>4.8800013333977897E-2</v>
      </c>
      <c r="J22">
        <f t="shared" si="6"/>
        <v>5.4167046422494966E-2</v>
      </c>
      <c r="K22">
        <f t="shared" si="6"/>
        <v>8.9666852709756273E-2</v>
      </c>
      <c r="L22">
        <f t="shared" si="6"/>
        <v>0.1474077854769334</v>
      </c>
      <c r="M22">
        <f t="shared" si="6"/>
        <v>0.22588145895553843</v>
      </c>
      <c r="N22">
        <f t="shared" si="6"/>
        <v>0.32999839371272788</v>
      </c>
      <c r="O22">
        <f t="shared" si="6"/>
        <v>0.47190852889535589</v>
      </c>
      <c r="P22">
        <f t="shared" ref="P22:AD31" si="7">(TAN($D22*P$5+0.1)-P$5^2)^2+(P$5^2+$D22^2-1)^2</f>
        <v>0.6735329273350692</v>
      </c>
      <c r="Q22">
        <f t="shared" si="7"/>
        <v>0.97347666135233468</v>
      </c>
      <c r="R22">
        <f t="shared" si="7"/>
        <v>1.4466299706036034</v>
      </c>
      <c r="S22">
        <f t="shared" si="7"/>
        <v>2.2660523014687959</v>
      </c>
      <c r="T22">
        <f t="shared" si="7"/>
        <v>3.9357607229544191</v>
      </c>
      <c r="U22">
        <f t="shared" si="7"/>
        <v>8.4531798797372524</v>
      </c>
      <c r="V22">
        <f t="shared" si="7"/>
        <v>29.153609262859174</v>
      </c>
      <c r="W22">
        <f t="shared" si="7"/>
        <v>523.83358688335318</v>
      </c>
      <c r="X22">
        <f t="shared" si="7"/>
        <v>273.24348070829512</v>
      </c>
      <c r="Y22">
        <f t="shared" si="7"/>
        <v>66.430404140135991</v>
      </c>
      <c r="Z22">
        <f t="shared" si="7"/>
        <v>42.729100363732343</v>
      </c>
      <c r="AA22">
        <f t="shared" si="7"/>
        <v>37.282686968809493</v>
      </c>
      <c r="AB22">
        <f t="shared" si="7"/>
        <v>37.214545357862043</v>
      </c>
      <c r="AC22">
        <f t="shared" si="7"/>
        <v>39.723573073759958</v>
      </c>
      <c r="AD22">
        <f t="shared" si="7"/>
        <v>43.930448309716837</v>
      </c>
    </row>
    <row r="23" spans="4:30" x14ac:dyDescent="0.3">
      <c r="D23">
        <v>1.2</v>
      </c>
      <c r="E23">
        <f t="shared" si="2"/>
        <v>1.1101976553314199</v>
      </c>
      <c r="F23">
        <f t="shared" si="6"/>
        <v>0.67294259292370517</v>
      </c>
      <c r="G23">
        <f t="shared" si="6"/>
        <v>0.40765133817314703</v>
      </c>
      <c r="H23">
        <f t="shared" si="6"/>
        <v>0.26313273208989363</v>
      </c>
      <c r="I23">
        <f t="shared" si="6"/>
        <v>0.20340016003271749</v>
      </c>
      <c r="J23">
        <f t="shared" si="6"/>
        <v>0.20366704642249486</v>
      </c>
      <c r="K23">
        <f t="shared" si="6"/>
        <v>0.24813325724997717</v>
      </c>
      <c r="L23">
        <f t="shared" si="6"/>
        <v>0.32883082864173524</v>
      </c>
      <c r="M23">
        <f t="shared" si="6"/>
        <v>0.4452887043805579</v>
      </c>
      <c r="N23">
        <f t="shared" si="6"/>
        <v>0.60519179264887835</v>
      </c>
      <c r="O23">
        <f t="shared" si="6"/>
        <v>0.82690552563157738</v>
      </c>
      <c r="P23">
        <f t="shared" si="7"/>
        <v>1.1465364229956148</v>
      </c>
      <c r="Q23">
        <f t="shared" si="7"/>
        <v>1.6379532727333155</v>
      </c>
      <c r="R23">
        <f t="shared" si="7"/>
        <v>2.4761081951689841</v>
      </c>
      <c r="S23">
        <f t="shared" si="7"/>
        <v>4.1780504837167225</v>
      </c>
      <c r="T23">
        <f t="shared" si="7"/>
        <v>8.8445371497209457</v>
      </c>
      <c r="U23">
        <f t="shared" si="7"/>
        <v>31.571424212708536</v>
      </c>
      <c r="V23">
        <f t="shared" si="7"/>
        <v>965.84545945075854</v>
      </c>
      <c r="W23">
        <f t="shared" si="7"/>
        <v>170.18796642969292</v>
      </c>
      <c r="X23" s="44">
        <f t="shared" si="7"/>
        <v>50.250126169412766</v>
      </c>
      <c r="Y23">
        <f t="shared" si="7"/>
        <v>34.038438676482784</v>
      </c>
      <c r="Z23">
        <f t="shared" si="7"/>
        <v>30.477416241605059</v>
      </c>
      <c r="AA23">
        <f t="shared" si="7"/>
        <v>30.917013221591901</v>
      </c>
      <c r="AB23">
        <f t="shared" si="7"/>
        <v>33.37690718325031</v>
      </c>
      <c r="AC23">
        <f t="shared" si="7"/>
        <v>37.227917695265603</v>
      </c>
      <c r="AD23">
        <f t="shared" si="7"/>
        <v>42.247820690481007</v>
      </c>
    </row>
    <row r="24" spans="4:30" x14ac:dyDescent="0.3">
      <c r="D24">
        <v>1.3</v>
      </c>
      <c r="E24">
        <f t="shared" si="2"/>
        <v>1.6285506092051585</v>
      </c>
      <c r="F24">
        <f t="shared" si="6"/>
        <v>1.0904302539061774</v>
      </c>
      <c r="G24">
        <f t="shared" si="6"/>
        <v>0.75926449277063124</v>
      </c>
      <c r="H24">
        <f t="shared" si="6"/>
        <v>0.57345368720600465</v>
      </c>
      <c r="I24">
        <f t="shared" si="6"/>
        <v>0.49160072034035307</v>
      </c>
      <c r="J24">
        <f t="shared" si="6"/>
        <v>0.48616704642249514</v>
      </c>
      <c r="K24">
        <f t="shared" si="6"/>
        <v>0.54024024688622052</v>
      </c>
      <c r="L24">
        <f t="shared" si="6"/>
        <v>0.64606687859288792</v>
      </c>
      <c r="M24">
        <f t="shared" si="6"/>
        <v>0.80499304857837428</v>
      </c>
      <c r="N24">
        <f t="shared" si="6"/>
        <v>1.0293151876582263</v>
      </c>
      <c r="O24">
        <f t="shared" si="6"/>
        <v>1.3481737342082918</v>
      </c>
      <c r="P24">
        <f t="shared" si="7"/>
        <v>1.8244291188023456</v>
      </c>
      <c r="Q24">
        <f t="shared" si="7"/>
        <v>2.6072581198259126</v>
      </c>
      <c r="R24">
        <f t="shared" si="7"/>
        <v>4.1278124188379017</v>
      </c>
      <c r="S24">
        <f t="shared" si="7"/>
        <v>8.0756251768546932</v>
      </c>
      <c r="T24">
        <f t="shared" si="7"/>
        <v>25.875788147295939</v>
      </c>
      <c r="U24">
        <f t="shared" si="7"/>
        <v>545.9600609075178</v>
      </c>
      <c r="V24">
        <f t="shared" si="7"/>
        <v>163.81519125240459</v>
      </c>
      <c r="W24" s="44">
        <f t="shared" si="7"/>
        <v>43.84029277767555</v>
      </c>
      <c r="X24" s="44">
        <f t="shared" si="7"/>
        <v>29.171756573910884</v>
      </c>
      <c r="Y24" s="44">
        <f t="shared" si="7"/>
        <v>26.070556801973829</v>
      </c>
      <c r="Z24">
        <f t="shared" si="7"/>
        <v>26.508230326522074</v>
      </c>
      <c r="AA24">
        <f t="shared" si="7"/>
        <v>28.712057420456198</v>
      </c>
      <c r="AB24">
        <f t="shared" si="7"/>
        <v>32.132244291590659</v>
      </c>
      <c r="AC24">
        <f t="shared" si="7"/>
        <v>36.57986191154675</v>
      </c>
      <c r="AD24">
        <f t="shared" si="7"/>
        <v>42.001392444141679</v>
      </c>
    </row>
    <row r="25" spans="4:30" x14ac:dyDescent="0.3">
      <c r="D25">
        <v>1.4</v>
      </c>
      <c r="E25">
        <f t="shared" si="2"/>
        <v>2.3367115766988036</v>
      </c>
      <c r="F25">
        <f t="shared" si="6"/>
        <v>1.684013088940332</v>
      </c>
      <c r="G25">
        <f t="shared" si="6"/>
        <v>1.2800690308352336</v>
      </c>
      <c r="H25">
        <f t="shared" si="6"/>
        <v>1.0492704718223271</v>
      </c>
      <c r="I25">
        <f t="shared" si="6"/>
        <v>0.94340213515524518</v>
      </c>
      <c r="J25">
        <f t="shared" si="6"/>
        <v>0.93166704642249443</v>
      </c>
      <c r="K25">
        <f t="shared" si="6"/>
        <v>0.99599193053315005</v>
      </c>
      <c r="L25">
        <f t="shared" si="6"/>
        <v>1.1291775043424139</v>
      </c>
      <c r="M25">
        <f t="shared" si="6"/>
        <v>1.3353659200158396</v>
      </c>
      <c r="N25">
        <f t="shared" si="6"/>
        <v>1.6339852636300973</v>
      </c>
      <c r="O25">
        <f t="shared" si="6"/>
        <v>2.0719362796395737</v>
      </c>
      <c r="P25">
        <f t="shared" si="7"/>
        <v>2.7609542378160818</v>
      </c>
      <c r="Q25">
        <f t="shared" si="7"/>
        <v>4.0102613345096989</v>
      </c>
      <c r="R25">
        <f t="shared" si="7"/>
        <v>6.9396201387158865</v>
      </c>
      <c r="S25">
        <f t="shared" si="7"/>
        <v>18.059077928949701</v>
      </c>
      <c r="T25">
        <f t="shared" si="7"/>
        <v>175.488804632149</v>
      </c>
      <c r="U25">
        <f t="shared" si="7"/>
        <v>249.22544355806869</v>
      </c>
      <c r="V25">
        <f t="shared" si="7"/>
        <v>43.583630576653945</v>
      </c>
      <c r="W25">
        <f t="shared" si="7"/>
        <v>26.703254752680643</v>
      </c>
      <c r="X25" s="44">
        <f t="shared" si="7"/>
        <v>23.259776213058238</v>
      </c>
      <c r="Y25">
        <f t="shared" si="7"/>
        <v>23.43619354676914</v>
      </c>
      <c r="Z25">
        <f t="shared" si="7"/>
        <v>25.299510511039696</v>
      </c>
      <c r="AA25">
        <f t="shared" si="7"/>
        <v>28.281566518547308</v>
      </c>
      <c r="AB25">
        <f t="shared" si="7"/>
        <v>32.191772293056275</v>
      </c>
      <c r="AC25">
        <f t="shared" si="7"/>
        <v>36.975111833495113</v>
      </c>
      <c r="AD25">
        <f t="shared" si="7"/>
        <v>42.633558769954213</v>
      </c>
    </row>
    <row r="26" spans="4:30" x14ac:dyDescent="0.3">
      <c r="D26">
        <v>1.5</v>
      </c>
      <c r="E26">
        <f t="shared" si="2"/>
        <v>3.2705129280290315</v>
      </c>
      <c r="F26">
        <f t="shared" si="6"/>
        <v>2.4869632071595387</v>
      </c>
      <c r="G26">
        <f t="shared" si="6"/>
        <v>2.0026509311076413</v>
      </c>
      <c r="H26">
        <f t="shared" si="6"/>
        <v>1.7230081613366213</v>
      </c>
      <c r="I26">
        <f t="shared" si="6"/>
        <v>1.5912050067446526</v>
      </c>
      <c r="J26">
        <f t="shared" si="6"/>
        <v>1.5725670464224948</v>
      </c>
      <c r="K26">
        <f t="shared" si="6"/>
        <v>1.6477926583084286</v>
      </c>
      <c r="L26">
        <f t="shared" si="6"/>
        <v>1.8106306483119223</v>
      </c>
      <c r="M26">
        <f t="shared" si="6"/>
        <v>2.0692390641692255</v>
      </c>
      <c r="N26">
        <f t="shared" si="6"/>
        <v>2.4536174341149324</v>
      </c>
      <c r="O26">
        <f t="shared" si="6"/>
        <v>3.0391350093918006</v>
      </c>
      <c r="P26">
        <f t="shared" si="7"/>
        <v>4.0258852590632292</v>
      </c>
      <c r="Q26">
        <f t="shared" si="7"/>
        <v>6.0708696042166395</v>
      </c>
      <c r="R26">
        <f t="shared" si="7"/>
        <v>12.34615091225791</v>
      </c>
      <c r="S26">
        <f t="shared" si="7"/>
        <v>59.420161946660336</v>
      </c>
      <c r="T26">
        <f t="shared" si="7"/>
        <v>1246.3938629621177</v>
      </c>
      <c r="U26">
        <f t="shared" si="7"/>
        <v>51.349613901316602</v>
      </c>
      <c r="V26">
        <f t="shared" si="7"/>
        <v>26.307640702704788</v>
      </c>
      <c r="W26">
        <f t="shared" si="7"/>
        <v>21.708648849633683</v>
      </c>
      <c r="X26">
        <f t="shared" si="7"/>
        <v>21.418476173843239</v>
      </c>
      <c r="Y26">
        <f t="shared" si="7"/>
        <v>22.893686767082265</v>
      </c>
      <c r="Z26">
        <f t="shared" si="7"/>
        <v>25.452496474433669</v>
      </c>
      <c r="AA26">
        <f t="shared" si="7"/>
        <v>28.873209432789007</v>
      </c>
      <c r="AB26">
        <f t="shared" si="7"/>
        <v>33.087934770293536</v>
      </c>
      <c r="AC26">
        <f t="shared" si="7"/>
        <v>38.089802261025184</v>
      </c>
      <c r="AD26">
        <f t="shared" si="7"/>
        <v>43.897165182623986</v>
      </c>
    </row>
    <row r="27" spans="4:30" x14ac:dyDescent="0.3">
      <c r="D27">
        <v>1.6</v>
      </c>
      <c r="E27">
        <f t="shared" si="2"/>
        <v>4.4691939060946595</v>
      </c>
      <c r="F27">
        <f t="shared" si="6"/>
        <v>3.5351333525367239</v>
      </c>
      <c r="G27">
        <f t="shared" si="6"/>
        <v>2.9620248119202541</v>
      </c>
      <c r="H27">
        <f t="shared" si="6"/>
        <v>2.6294951994018474</v>
      </c>
      <c r="I27">
        <f t="shared" si="6"/>
        <v>2.4698100997353452</v>
      </c>
      <c r="J27">
        <f t="shared" si="6"/>
        <v>2.4436670464224965</v>
      </c>
      <c r="K27">
        <f t="shared" si="6"/>
        <v>2.5304470298278949</v>
      </c>
      <c r="L27">
        <f t="shared" si="6"/>
        <v>2.7253012353923411</v>
      </c>
      <c r="M27">
        <f t="shared" si="6"/>
        <v>3.0419153754754906</v>
      </c>
      <c r="N27">
        <f t="shared" si="6"/>
        <v>3.5255438451273071</v>
      </c>
      <c r="O27">
        <f t="shared" si="6"/>
        <v>4.2965196244844801</v>
      </c>
      <c r="P27">
        <f t="shared" si="7"/>
        <v>5.7153861008616333</v>
      </c>
      <c r="Q27">
        <f t="shared" si="7"/>
        <v>9.2324463985079053</v>
      </c>
      <c r="R27">
        <f t="shared" si="7"/>
        <v>25.428338055741239</v>
      </c>
      <c r="S27">
        <f t="shared" si="7"/>
        <v>1007.411494480973</v>
      </c>
      <c r="T27">
        <f t="shared" si="7"/>
        <v>82.184488772045441</v>
      </c>
      <c r="U27">
        <f t="shared" si="7"/>
        <v>28.565365639707768</v>
      </c>
      <c r="V27">
        <f t="shared" si="7"/>
        <v>21.350819963122078</v>
      </c>
      <c r="W27">
        <f t="shared" si="7"/>
        <v>20.316944006583732</v>
      </c>
      <c r="X27">
        <f t="shared" si="7"/>
        <v>21.348000434987778</v>
      </c>
      <c r="Y27">
        <f t="shared" si="7"/>
        <v>23.498242650145698</v>
      </c>
      <c r="Z27">
        <f t="shared" si="7"/>
        <v>26.477049919761029</v>
      </c>
      <c r="AA27">
        <f t="shared" si="7"/>
        <v>30.191246830442374</v>
      </c>
      <c r="AB27">
        <f t="shared" si="7"/>
        <v>34.620504378296317</v>
      </c>
      <c r="AC27">
        <f t="shared" si="7"/>
        <v>39.772501505190604</v>
      </c>
      <c r="AD27">
        <f t="shared" si="7"/>
        <v>45.661152722615206</v>
      </c>
    </row>
    <row r="28" spans="4:30" x14ac:dyDescent="0.3">
      <c r="D28">
        <v>1.7</v>
      </c>
      <c r="E28">
        <f t="shared" si="2"/>
        <v>5.9757701941523624</v>
      </c>
      <c r="F28">
        <f t="shared" si="6"/>
        <v>4.8669995998562436</v>
      </c>
      <c r="G28">
        <f t="shared" si="6"/>
        <v>4.1956379008399294</v>
      </c>
      <c r="H28">
        <f t="shared" si="6"/>
        <v>3.8059636008045961</v>
      </c>
      <c r="I28">
        <f t="shared" si="6"/>
        <v>3.6164183423830245</v>
      </c>
      <c r="J28">
        <f t="shared" si="6"/>
        <v>3.582167046422494</v>
      </c>
      <c r="K28">
        <f t="shared" si="6"/>
        <v>3.6811599030555193</v>
      </c>
      <c r="L28">
        <f t="shared" si="6"/>
        <v>3.9104718626815846</v>
      </c>
      <c r="M28">
        <f t="shared" si="6"/>
        <v>4.2911821808371906</v>
      </c>
      <c r="N28">
        <f t="shared" si="6"/>
        <v>4.8901746965429487</v>
      </c>
      <c r="O28">
        <f t="shared" si="6"/>
        <v>5.898382571379118</v>
      </c>
      <c r="P28">
        <f t="shared" si="7"/>
        <v>7.9727833538318453</v>
      </c>
      <c r="Q28">
        <f t="shared" si="7"/>
        <v>14.528153492641762</v>
      </c>
      <c r="R28">
        <f t="shared" si="7"/>
        <v>76.100148887566831</v>
      </c>
      <c r="S28">
        <f t="shared" si="7"/>
        <v>319.91146300723153</v>
      </c>
      <c r="T28">
        <f t="shared" si="7"/>
        <v>36.296662492641488</v>
      </c>
      <c r="U28">
        <f t="shared" si="7"/>
        <v>22.42986230819848</v>
      </c>
      <c r="V28">
        <f t="shared" si="7"/>
        <v>20.106170037366223</v>
      </c>
      <c r="W28">
        <f t="shared" si="7"/>
        <v>20.58341139597459</v>
      </c>
      <c r="X28">
        <f t="shared" si="7"/>
        <v>22.322758836680634</v>
      </c>
      <c r="Y28">
        <f t="shared" si="7"/>
        <v>24.898251793222446</v>
      </c>
      <c r="Z28">
        <f t="shared" si="7"/>
        <v>28.172862618274035</v>
      </c>
      <c r="AA28">
        <f t="shared" si="7"/>
        <v>32.10681668120796</v>
      </c>
      <c r="AB28">
        <f t="shared" si="7"/>
        <v>36.695545828537533</v>
      </c>
      <c r="AC28">
        <f t="shared" si="7"/>
        <v>41.941825985668046</v>
      </c>
      <c r="AD28">
        <f t="shared" si="7"/>
        <v>47.835729280544264</v>
      </c>
    </row>
    <row r="29" spans="4:30" x14ac:dyDescent="0.3">
      <c r="D29">
        <v>1.8</v>
      </c>
      <c r="E29">
        <f t="shared" si="2"/>
        <v>7.8375748366899387</v>
      </c>
      <c r="F29">
        <f t="shared" si="6"/>
        <v>6.5237169519201421</v>
      </c>
      <c r="G29">
        <f t="shared" si="6"/>
        <v>5.7433747997737683</v>
      </c>
      <c r="H29">
        <f t="shared" si="6"/>
        <v>5.2920491840005219</v>
      </c>
      <c r="I29">
        <f t="shared" si="6"/>
        <v>5.0706308281242745</v>
      </c>
      <c r="J29">
        <f t="shared" si="6"/>
        <v>5.0276670464224953</v>
      </c>
      <c r="K29">
        <f t="shared" si="6"/>
        <v>5.1395364037380835</v>
      </c>
      <c r="L29">
        <f t="shared" si="6"/>
        <v>5.405833581292514</v>
      </c>
      <c r="M29">
        <f t="shared" si="6"/>
        <v>5.8573276152076295</v>
      </c>
      <c r="N29">
        <f t="shared" si="6"/>
        <v>6.5912219120520463</v>
      </c>
      <c r="O29">
        <f t="shared" si="6"/>
        <v>7.9094149584873099</v>
      </c>
      <c r="P29">
        <f t="shared" si="7"/>
        <v>11.033590208976925</v>
      </c>
      <c r="Q29">
        <f t="shared" si="7"/>
        <v>24.95408029886238</v>
      </c>
      <c r="R29">
        <f t="shared" si="7"/>
        <v>1020.8792817113443</v>
      </c>
      <c r="S29">
        <f t="shared" si="7"/>
        <v>64.99050086311226</v>
      </c>
      <c r="T29">
        <f t="shared" si="7"/>
        <v>25.919694889788332</v>
      </c>
      <c r="U29">
        <f t="shared" si="7"/>
        <v>20.909147825982835</v>
      </c>
      <c r="V29">
        <f t="shared" si="7"/>
        <v>20.583965684731574</v>
      </c>
      <c r="W29">
        <f t="shared" si="7"/>
        <v>21.871199028032503</v>
      </c>
      <c r="X29">
        <f t="shared" si="7"/>
        <v>24.06459525430564</v>
      </c>
      <c r="Y29">
        <f t="shared" si="7"/>
        <v>26.948885703624207</v>
      </c>
      <c r="Z29">
        <f t="shared" si="7"/>
        <v>30.454805319492927</v>
      </c>
      <c r="AA29">
        <f t="shared" si="7"/>
        <v>34.562932426514607</v>
      </c>
      <c r="AB29">
        <f t="shared" si="7"/>
        <v>39.265602081844449</v>
      </c>
      <c r="AC29">
        <f t="shared" si="7"/>
        <v>44.54222472933202</v>
      </c>
      <c r="AD29">
        <f t="shared" si="7"/>
        <v>50.33002681348303</v>
      </c>
    </row>
    <row r="30" spans="4:30" x14ac:dyDescent="0.3">
      <c r="D30">
        <v>1.9</v>
      </c>
      <c r="E30">
        <f t="shared" si="2"/>
        <v>10.107067722620238</v>
      </c>
      <c r="F30">
        <f t="shared" si="6"/>
        <v>8.5491924078500432</v>
      </c>
      <c r="G30">
        <f t="shared" si="6"/>
        <v>7.6475632141482839</v>
      </c>
      <c r="H30">
        <f t="shared" si="6"/>
        <v>7.1297918363122808</v>
      </c>
      <c r="I30">
        <f t="shared" si="6"/>
        <v>6.874448817415475</v>
      </c>
      <c r="J30">
        <f t="shared" si="6"/>
        <v>6.8221670464224937</v>
      </c>
      <c r="K30">
        <f t="shared" si="6"/>
        <v>6.9475819354567427</v>
      </c>
      <c r="L30">
        <f t="shared" si="6"/>
        <v>7.2534867835542336</v>
      </c>
      <c r="M30">
        <f t="shared" si="6"/>
        <v>7.783160925923263</v>
      </c>
      <c r="N30">
        <f t="shared" si="6"/>
        <v>8.6760141359899183</v>
      </c>
      <c r="O30">
        <f t="shared" si="6"/>
        <v>10.409590615030131</v>
      </c>
      <c r="P30">
        <f t="shared" si="7"/>
        <v>15.33324601625573</v>
      </c>
      <c r="Q30">
        <f t="shared" si="7"/>
        <v>52.715314468360454</v>
      </c>
      <c r="R30">
        <f t="shared" si="7"/>
        <v>449.35112490958466</v>
      </c>
      <c r="S30">
        <f t="shared" si="7"/>
        <v>35.809385034843565</v>
      </c>
      <c r="T30">
        <f t="shared" si="7"/>
        <v>23.176578930564951</v>
      </c>
      <c r="U30">
        <f t="shared" si="7"/>
        <v>21.420692372991205</v>
      </c>
      <c r="V30">
        <f t="shared" si="7"/>
        <v>22.131282167516176</v>
      </c>
      <c r="W30">
        <f t="shared" si="7"/>
        <v>23.933905443391161</v>
      </c>
      <c r="X30">
        <f t="shared" si="7"/>
        <v>26.46045175790632</v>
      </c>
      <c r="Y30">
        <f t="shared" si="7"/>
        <v>29.592598676924016</v>
      </c>
      <c r="Z30">
        <f t="shared" si="7"/>
        <v>33.290656929824152</v>
      </c>
      <c r="AA30">
        <f t="shared" si="7"/>
        <v>37.536389030215389</v>
      </c>
      <c r="AB30">
        <f t="shared" si="7"/>
        <v>42.301924430286476</v>
      </c>
      <c r="AC30">
        <f t="shared" si="7"/>
        <v>47.516881895349584</v>
      </c>
      <c r="AD30">
        <f t="shared" si="7"/>
        <v>53.010316267819</v>
      </c>
    </row>
    <row r="31" spans="4:30" x14ac:dyDescent="0.3">
      <c r="D31">
        <v>2</v>
      </c>
      <c r="E31">
        <f t="shared" si="2"/>
        <v>12.843077842034818</v>
      </c>
      <c r="F31">
        <f t="shared" si="6"/>
        <v>10.990181997611305</v>
      </c>
      <c r="G31">
        <f t="shared" si="6"/>
        <v>9.952980858581407</v>
      </c>
      <c r="H31">
        <f t="shared" si="6"/>
        <v>9.3636358152913175</v>
      </c>
      <c r="I31">
        <f t="shared" si="6"/>
        <v>9.0722737398642028</v>
      </c>
      <c r="J31">
        <f t="shared" si="6"/>
        <v>9.0100670464224955</v>
      </c>
      <c r="K31">
        <f t="shared" si="6"/>
        <v>9.1497021903303537</v>
      </c>
      <c r="L31">
        <f t="shared" si="6"/>
        <v>9.4979422112220213</v>
      </c>
      <c r="M31">
        <f t="shared" si="6"/>
        <v>10.114037807379763</v>
      </c>
      <c r="N31">
        <f t="shared" si="6"/>
        <v>11.195948103643541</v>
      </c>
      <c r="O31">
        <f t="shared" si="6"/>
        <v>13.502900682127516</v>
      </c>
      <c r="P31">
        <f t="shared" si="7"/>
        <v>21.800828283119962</v>
      </c>
      <c r="Q31">
        <f t="shared" si="7"/>
        <v>197.45085297826415</v>
      </c>
      <c r="R31">
        <f t="shared" si="7"/>
        <v>82.748535231634833</v>
      </c>
      <c r="S31">
        <f t="shared" si="7"/>
        <v>28.48199783421078</v>
      </c>
      <c r="T31">
        <f t="shared" si="7"/>
        <v>23.343268286091508</v>
      </c>
      <c r="U31">
        <f t="shared" si="7"/>
        <v>23.149336188840376</v>
      </c>
      <c r="V31">
        <f t="shared" si="7"/>
        <v>24.496666528619063</v>
      </c>
      <c r="W31">
        <f t="shared" si="7"/>
        <v>26.673490797685648</v>
      </c>
      <c r="X31">
        <f t="shared" si="7"/>
        <v>29.469824762548587</v>
      </c>
      <c r="Y31">
        <f t="shared" si="7"/>
        <v>32.814006891574259</v>
      </c>
      <c r="Z31">
        <f t="shared" si="7"/>
        <v>36.674820475876103</v>
      </c>
      <c r="AA31">
        <f t="shared" si="7"/>
        <v>41.019409401696343</v>
      </c>
      <c r="AB31">
        <f t="shared" si="7"/>
        <v>45.777221087824373</v>
      </c>
      <c r="AC31">
        <f t="shared" si="7"/>
        <v>50.781407494768992</v>
      </c>
      <c r="AD31">
        <f t="shared" si="7"/>
        <v>55.638215782800799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</vt:lpstr>
      <vt:lpstr>Задание 2</vt:lpstr>
      <vt:lpstr>Задание 3</vt:lpstr>
      <vt:lpstr>Задание 4</vt:lpstr>
      <vt:lpstr>Задание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kitty swirth</dc:creator>
  <cp:lastModifiedBy>swirth</cp:lastModifiedBy>
  <dcterms:created xsi:type="dcterms:W3CDTF">2015-06-05T18:19:34Z</dcterms:created>
  <dcterms:modified xsi:type="dcterms:W3CDTF">2025-01-13T06:17:59Z</dcterms:modified>
</cp:coreProperties>
</file>