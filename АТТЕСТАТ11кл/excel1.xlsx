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НФОРМАТИКА\"/>
    </mc:Choice>
  </mc:AlternateContent>
  <xr:revisionPtr revIDLastSave="0" documentId="13_ncr:1_{AAFAB3D8-85B6-4A67-94D5-732CA35CD1E1}" xr6:coauthVersionLast="47" xr6:coauthVersionMax="47" xr10:uidLastSave="{00000000-0000-0000-0000-000000000000}"/>
  <bookViews>
    <workbookView xWindow="-108" yWindow="-108" windowWidth="23256" windowHeight="12456" activeTab="3" xr2:uid="{67AA69EC-DE72-4298-84E0-80DC7607501C}"/>
  </bookViews>
  <sheets>
    <sheet name="Вар20" sheetId="1" r:id="rId1"/>
    <sheet name="Лаб2" sheetId="4" r:id="rId2"/>
    <sheet name="Графики" sheetId="5" r:id="rId3"/>
    <sheet name="Параметры" sheetId="6" r:id="rId4"/>
    <sheet name="2лаб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6" l="1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9" i="6"/>
  <c r="F24" i="6"/>
  <c r="F23" i="6"/>
  <c r="F22" i="6"/>
  <c r="F10" i="6"/>
  <c r="F11" i="6"/>
  <c r="F12" i="6"/>
  <c r="F13" i="6"/>
  <c r="F14" i="6"/>
  <c r="F15" i="6"/>
  <c r="F16" i="6"/>
  <c r="F17" i="6"/>
  <c r="F18" i="6"/>
  <c r="F19" i="6"/>
  <c r="F20" i="6"/>
  <c r="F21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E5" i="6"/>
  <c r="B9" i="6"/>
  <c r="E6" i="6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B7" i="5"/>
  <c r="B8" i="5"/>
  <c r="B9" i="5"/>
  <c r="B10" i="5"/>
  <c r="B11" i="5"/>
  <c r="B13" i="5"/>
  <c r="B14" i="5"/>
  <c r="B15" i="5"/>
  <c r="B12" i="5"/>
  <c r="A1" i="5" s="1" a="1"/>
  <c r="A1" i="5" s="1"/>
  <c r="G13" i="1"/>
  <c r="E13" i="1"/>
  <c r="L9" i="1" l="1"/>
  <c r="F13" i="1" s="1"/>
  <c r="M9" i="1"/>
  <c r="I13" i="1" s="1"/>
  <c r="K9" i="1" l="1"/>
  <c r="I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2004 MrVak</author>
  </authors>
  <commentList>
    <comment ref="K9" authorId="0" shapeId="0" xr:uid="{8AFA885F-9C40-4E48-9738-215ABD2E15E0}">
      <text>
        <r>
          <rPr>
            <b/>
            <sz val="9"/>
            <color indexed="81"/>
            <rFont val="Tahoma"/>
            <family val="2"/>
            <charset val="204"/>
          </rPr>
          <t>swirth:</t>
        </r>
        <r>
          <rPr>
            <sz val="9"/>
            <color indexed="81"/>
            <rFont val="Tahoma"/>
            <family val="2"/>
            <charset val="204"/>
          </rPr>
          <t xml:space="preserve">
Влияние изменения расхода материалов на изменение удельной материалоёмкости изделия</t>
        </r>
      </text>
    </comment>
    <comment ref="L9" authorId="0" shapeId="0" xr:uid="{942697F0-E262-4DF4-87D4-882C074F9A12}">
      <text>
        <r>
          <rPr>
            <b/>
            <sz val="9"/>
            <color indexed="81"/>
            <rFont val="Tahoma"/>
            <family val="2"/>
            <charset val="204"/>
          </rPr>
          <t>swirth:</t>
        </r>
        <r>
          <rPr>
            <sz val="9"/>
            <color indexed="81"/>
            <rFont val="Tahoma"/>
            <family val="2"/>
            <charset val="204"/>
          </rPr>
          <t xml:space="preserve">
Сумма затрат в 1998г
</t>
        </r>
      </text>
    </comment>
    <comment ref="M9" authorId="0" shapeId="0" xr:uid="{8BC7FBC7-792C-4F49-B549-A2ADB5782CA2}">
      <text>
        <r>
          <rPr>
            <b/>
            <sz val="9"/>
            <color indexed="81"/>
            <rFont val="Tahoma"/>
            <family val="2"/>
            <charset val="204"/>
          </rPr>
          <t>swirth:</t>
        </r>
        <r>
          <rPr>
            <sz val="9"/>
            <color indexed="81"/>
            <rFont val="Tahoma"/>
            <family val="2"/>
            <charset val="204"/>
          </rPr>
          <t xml:space="preserve">
Сумма затрат в 1999г.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<sst xmlns="http://schemas.openxmlformats.org/spreadsheetml/2006/main" count="60" uniqueCount="41">
  <si>
    <t>Материалы</t>
  </si>
  <si>
    <t>1998 г.</t>
  </si>
  <si>
    <t>1999 г.</t>
  </si>
  <si>
    <t>Количество материала, т</t>
  </si>
  <si>
    <t>Затраты на материалы в ценах 1999 г.</t>
  </si>
  <si>
    <t>Цена 1 кг материалы, у.е</t>
  </si>
  <si>
    <t>Затраты на материалы, у.е</t>
  </si>
  <si>
    <t>Сталь 3Х13</t>
  </si>
  <si>
    <t>Итого</t>
  </si>
  <si>
    <t>Оценка изменения расходов материалов на изменение удельное материалоемкости изделия, DM</t>
  </si>
  <si>
    <t>-</t>
  </si>
  <si>
    <t>Сталь 12ХР3А</t>
  </si>
  <si>
    <t>Дюралюминий</t>
  </si>
  <si>
    <t>Бронза</t>
  </si>
  <si>
    <t>Латунь</t>
  </si>
  <si>
    <t>Вариант 20. Оценить влияние изменения расхода материалов на изменение удельной материалоемкости изделия.</t>
  </si>
  <si>
    <t>DM</t>
  </si>
  <si>
    <t>Затраты_8</t>
  </si>
  <si>
    <t>Затраты_9</t>
  </si>
  <si>
    <t>x</t>
  </si>
  <si>
    <t>y</t>
  </si>
  <si>
    <t>ФИО</t>
  </si>
  <si>
    <t>Дата рождения</t>
  </si>
  <si>
    <t>Дата начала исследования</t>
  </si>
  <si>
    <t>Дата окончания исследования</t>
  </si>
  <si>
    <t>Проижтые дни(к началу исследования)</t>
  </si>
  <si>
    <t>Прожитые годы(к началу исследования)</t>
  </si>
  <si>
    <t>Танцерев А.А</t>
  </si>
  <si>
    <t>Периоды биоритмов</t>
  </si>
  <si>
    <t>Физический</t>
  </si>
  <si>
    <t>Эмоциональный</t>
  </si>
  <si>
    <t>Интеллектуальный</t>
  </si>
  <si>
    <t>Дата исследования</t>
  </si>
  <si>
    <t>Прожитый день</t>
  </si>
  <si>
    <t>Значение функций</t>
  </si>
  <si>
    <t>Визуальное представление</t>
  </si>
  <si>
    <t>Материал</t>
  </si>
  <si>
    <t>Количество материала, т в 1998</t>
  </si>
  <si>
    <t>Количество материала, т в 1999</t>
  </si>
  <si>
    <t>Затраты на материалы в 1998 г.</t>
  </si>
  <si>
    <t>Затраты на материалы в 1999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</si>
</sst>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2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14" fontId="0" fillId="0" borderId="0" xfId="0" applyNumberFormat="1"/>
    <xf numFmtId="0" fontId="0" fillId="0" borderId="7" xfId="0" applyBorder="1"/>
    <xf numFmtId="14" fontId="0" fillId="0" borderId="7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0" xfId="0" applyNumberFormat="1"/>
    <xf numFmtId="0" fontId="4" fillId="0" borderId="0" xfId="0" applyFont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/>
    <xf numFmtId="0" fontId="6" fillId="0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1" fillId="0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материала, т.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Вар20!$T$7</c:f>
              <c:strCache>
                <c:ptCount val="1"/>
                <c:pt idx="0">
                  <c:v>Количество материала, т в 1998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Вар20!$S$8:$S$12</c:f>
              <c:strCache>
                <c:ptCount val="5"/>
                <c:pt idx="0">
                  <c:v>Сталь 3Х13</c:v>
                </c:pt>
                <c:pt idx="1">
                  <c:v>Сталь 12ХР3А</c:v>
                </c:pt>
                <c:pt idx="2">
                  <c:v>Дюралюминий</c:v>
                </c:pt>
                <c:pt idx="3">
                  <c:v>Бронза</c:v>
                </c:pt>
                <c:pt idx="4">
                  <c:v>Латунь</c:v>
                </c:pt>
              </c:strCache>
            </c:strRef>
          </c:cat>
          <c:val>
            <c:numRef>
              <c:f>Вар20!$T$8:$T$12</c:f>
              <c:numCache>
                <c:formatCode>General</c:formatCode>
                <c:ptCount val="5"/>
                <c:pt idx="0">
                  <c:v>130</c:v>
                </c:pt>
                <c:pt idx="1">
                  <c:v>126</c:v>
                </c:pt>
                <c:pt idx="2">
                  <c:v>56</c:v>
                </c:pt>
                <c:pt idx="3">
                  <c:v>13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4-4AAA-9703-5A69B5EB3488}"/>
            </c:ext>
          </c:extLst>
        </c:ser>
        <c:ser>
          <c:idx val="1"/>
          <c:order val="1"/>
          <c:tx>
            <c:strRef>
              <c:f>Вар20!$U$7</c:f>
              <c:strCache>
                <c:ptCount val="1"/>
                <c:pt idx="0">
                  <c:v>Количество материала, т в 1999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Вар20!$S$8:$S$12</c:f>
              <c:strCache>
                <c:ptCount val="5"/>
                <c:pt idx="0">
                  <c:v>Сталь 3Х13</c:v>
                </c:pt>
                <c:pt idx="1">
                  <c:v>Сталь 12ХР3А</c:v>
                </c:pt>
                <c:pt idx="2">
                  <c:v>Дюралюминий</c:v>
                </c:pt>
                <c:pt idx="3">
                  <c:v>Бронза</c:v>
                </c:pt>
                <c:pt idx="4">
                  <c:v>Латунь</c:v>
                </c:pt>
              </c:strCache>
            </c:strRef>
          </c:cat>
          <c:val>
            <c:numRef>
              <c:f>Вар20!$U$8:$U$12</c:f>
              <c:numCache>
                <c:formatCode>General</c:formatCode>
                <c:ptCount val="5"/>
                <c:pt idx="0">
                  <c:v>165</c:v>
                </c:pt>
                <c:pt idx="1">
                  <c:v>123</c:v>
                </c:pt>
                <c:pt idx="2">
                  <c:v>78</c:v>
                </c:pt>
                <c:pt idx="3">
                  <c:v>12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4-4AAA-9703-5A69B5EB3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602400"/>
        <c:axId val="1996603232"/>
      </c:barChart>
      <c:catAx>
        <c:axId val="199660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Материалы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6603232"/>
        <c:crosses val="autoZero"/>
        <c:auto val="1"/>
        <c:lblAlgn val="ctr"/>
        <c:lblOffset val="100"/>
        <c:noMultiLvlLbl val="0"/>
      </c:catAx>
      <c:valAx>
        <c:axId val="19966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материала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660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Затраты на материалы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Вар20!$T$14</c:f>
              <c:strCache>
                <c:ptCount val="1"/>
                <c:pt idx="0">
                  <c:v>Затраты на материалы в 1998 г.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Вар20!$S$15:$S$19</c:f>
              <c:strCache>
                <c:ptCount val="5"/>
                <c:pt idx="0">
                  <c:v>Сталь 3Х13</c:v>
                </c:pt>
                <c:pt idx="1">
                  <c:v>Сталь 12ХР3А</c:v>
                </c:pt>
                <c:pt idx="2">
                  <c:v>Дюралюминий</c:v>
                </c:pt>
                <c:pt idx="3">
                  <c:v>Бронза</c:v>
                </c:pt>
                <c:pt idx="4">
                  <c:v>Латунь</c:v>
                </c:pt>
              </c:strCache>
            </c:strRef>
          </c:cat>
          <c:val>
            <c:numRef>
              <c:f>Вар20!$T$15:$T$19</c:f>
              <c:numCache>
                <c:formatCode>General</c:formatCode>
                <c:ptCount val="5"/>
                <c:pt idx="0">
                  <c:v>442000</c:v>
                </c:pt>
                <c:pt idx="1">
                  <c:v>541800</c:v>
                </c:pt>
                <c:pt idx="2">
                  <c:v>235200</c:v>
                </c:pt>
                <c:pt idx="3">
                  <c:v>113099.99999999999</c:v>
                </c:pt>
                <c:pt idx="4">
                  <c:v>180200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3-42B2-A512-F2E57F114757}"/>
            </c:ext>
          </c:extLst>
        </c:ser>
        <c:ser>
          <c:idx val="1"/>
          <c:order val="1"/>
          <c:tx>
            <c:strRef>
              <c:f>Вар20!$U$14</c:f>
              <c:strCache>
                <c:ptCount val="1"/>
                <c:pt idx="0">
                  <c:v>Затраты на материалы в 1999 г.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Вар20!$S$15:$S$19</c:f>
              <c:strCache>
                <c:ptCount val="5"/>
                <c:pt idx="0">
                  <c:v>Сталь 3Х13</c:v>
                </c:pt>
                <c:pt idx="1">
                  <c:v>Сталь 12ХР3А</c:v>
                </c:pt>
                <c:pt idx="2">
                  <c:v>Дюралюминий</c:v>
                </c:pt>
                <c:pt idx="3">
                  <c:v>Бронза</c:v>
                </c:pt>
                <c:pt idx="4">
                  <c:v>Латунь</c:v>
                </c:pt>
              </c:strCache>
            </c:strRef>
          </c:cat>
          <c:val>
            <c:numRef>
              <c:f>Вар20!$U$15:$U$19</c:f>
              <c:numCache>
                <c:formatCode>General</c:formatCode>
                <c:ptCount val="5"/>
                <c:pt idx="0">
                  <c:v>442000</c:v>
                </c:pt>
                <c:pt idx="1">
                  <c:v>541800</c:v>
                </c:pt>
                <c:pt idx="2">
                  <c:v>235200</c:v>
                </c:pt>
                <c:pt idx="3">
                  <c:v>113099.99999999999</c:v>
                </c:pt>
                <c:pt idx="4">
                  <c:v>180200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3-42B2-A512-F2E57F114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2896592"/>
        <c:axId val="2002897840"/>
      </c:barChart>
      <c:catAx>
        <c:axId val="2002896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Материалы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2897840"/>
        <c:crosses val="autoZero"/>
        <c:auto val="1"/>
        <c:lblAlgn val="ctr"/>
        <c:lblOffset val="100"/>
        <c:noMultiLvlLbl val="0"/>
      </c:catAx>
      <c:valAx>
        <c:axId val="200289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Затраты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28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</a:t>
            </a:r>
            <a:r>
              <a:rPr lang="ru-RU" b="1" baseline="0"/>
              <a:t> функции с табуляцией 0,5</a:t>
            </a:r>
            <a:endParaRPr lang="ru-RU" b="1"/>
          </a:p>
        </c:rich>
      </c:tx>
      <c:layout>
        <c:manualLayout>
          <c:xMode val="edge"/>
          <c:yMode val="edge"/>
          <c:x val="0.2183123359580052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Графики!$A$7:$A$15</c:f>
              <c:numCache>
                <c:formatCode>General</c:formatCode>
                <c:ptCount val="9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Графики!$B$7:$B$15</c:f>
              <c:numCache>
                <c:formatCode>General</c:formatCode>
                <c:ptCount val="9"/>
                <c:pt idx="0">
                  <c:v>2.0800838230519041</c:v>
                </c:pt>
                <c:pt idx="1">
                  <c:v>2.0745663334156084</c:v>
                </c:pt>
                <c:pt idx="2">
                  <c:v>2</c:v>
                </c:pt>
                <c:pt idx="3">
                  <c:v>0.63725311934627082</c:v>
                </c:pt>
                <c:pt idx="4">
                  <c:v>0.66666666666666663</c:v>
                </c:pt>
                <c:pt idx="5">
                  <c:v>0.45518079953305063</c:v>
                </c:pt>
                <c:pt idx="6">
                  <c:v>0.27130528227961936</c:v>
                </c:pt>
                <c:pt idx="7">
                  <c:v>0.22222778611801625</c:v>
                </c:pt>
                <c:pt idx="8">
                  <c:v>0.20599813706842349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52-4347-9BD2-020B6F83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178064"/>
        <c:axId val="1094178896"/>
      </c:scatterChart>
      <c:valAx>
        <c:axId val="1094178064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033333333333333"/>
              <c:y val="9.627296587926510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4178896"/>
        <c:crosses val="autoZero"/>
        <c:crossBetween val="midCat"/>
      </c:valAx>
      <c:valAx>
        <c:axId val="10941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555555555555556"/>
              <c:y val="0.75222623213764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417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График функции с табуляцией 0,2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0715223097112861E-2"/>
          <c:y val="0.18706586378615131"/>
          <c:w val="0.90572922134733158"/>
          <c:h val="0.7024602984308457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Графики!$D$7:$D$27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-0.80000000000009996</c:v>
                </c:pt>
                <c:pt idx="7">
                  <c:v>-0.60000000000009901</c:v>
                </c:pt>
                <c:pt idx="8">
                  <c:v>-0.4000000000001</c:v>
                </c:pt>
                <c:pt idx="9">
                  <c:v>-0.20000000000010101</c:v>
                </c:pt>
                <c:pt idx="10">
                  <c:v>0</c:v>
                </c:pt>
                <c:pt idx="11">
                  <c:v>0.19999999999990001</c:v>
                </c:pt>
                <c:pt idx="12">
                  <c:v>0.39999999999990099</c:v>
                </c:pt>
                <c:pt idx="13">
                  <c:v>0.59999999999989995</c:v>
                </c:pt>
                <c:pt idx="14">
                  <c:v>0.79999999999989901</c:v>
                </c:pt>
                <c:pt idx="15">
                  <c:v>0.99999999999990097</c:v>
                </c:pt>
                <c:pt idx="16">
                  <c:v>1.1999999999999</c:v>
                </c:pt>
                <c:pt idx="17">
                  <c:v>1.3999999999999</c:v>
                </c:pt>
                <c:pt idx="18">
                  <c:v>1.5999999999998999</c:v>
                </c:pt>
                <c:pt idx="19">
                  <c:v>1.7999999999998999</c:v>
                </c:pt>
                <c:pt idx="20">
                  <c:v>1.9999999999999001</c:v>
                </c:pt>
              </c:numCache>
            </c:numRef>
          </c:xVal>
          <c:yVal>
            <c:numRef>
              <c:f>Графики!$E$7:$E$27</c:f>
              <c:numCache>
                <c:formatCode>General</c:formatCode>
                <c:ptCount val="21"/>
                <c:pt idx="0">
                  <c:v>2.0800838230519041</c:v>
                </c:pt>
                <c:pt idx="1">
                  <c:v>2.0798312017447014</c:v>
                </c:pt>
                <c:pt idx="2">
                  <c:v>2.0775651781511653</c:v>
                </c:pt>
                <c:pt idx="3">
                  <c:v>2.0693615510666823</c:v>
                </c:pt>
                <c:pt idx="4">
                  <c:v>2.0477744456633338</c:v>
                </c:pt>
                <c:pt idx="5">
                  <c:v>2</c:v>
                </c:pt>
                <c:pt idx="6">
                  <c:v>0.56164245085225939</c:v>
                </c:pt>
                <c:pt idx="7">
                  <c:v>0.61000194283150666</c:v>
                </c:pt>
                <c:pt idx="8">
                  <c:v>0.66142439014840992</c:v>
                </c:pt>
                <c:pt idx="9">
                  <c:v>0.68664958416779709</c:v>
                </c:pt>
                <c:pt idx="10">
                  <c:v>0.66666666666666663</c:v>
                </c:pt>
                <c:pt idx="11">
                  <c:v>0.60081838614686667</c:v>
                </c:pt>
                <c:pt idx="12">
                  <c:v>0.50579512187826237</c:v>
                </c:pt>
                <c:pt idx="13">
                  <c:v>0.40666796188773574</c:v>
                </c:pt>
                <c:pt idx="14">
                  <c:v>0.32516141891451117</c:v>
                </c:pt>
                <c:pt idx="15">
                  <c:v>0.27130528227963918</c:v>
                </c:pt>
                <c:pt idx="16">
                  <c:v>0.24220012265698812</c:v>
                </c:pt>
                <c:pt idx="17">
                  <c:v>0.22746240101806292</c:v>
                </c:pt>
                <c:pt idx="18">
                  <c:v>0.21739146237987375</c:v>
                </c:pt>
                <c:pt idx="19">
                  <c:v>0.20888848044780725</c:v>
                </c:pt>
                <c:pt idx="20">
                  <c:v>0.20599813706842235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A0-4414-9FCC-6B8A3164B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351024"/>
        <c:axId val="937350608"/>
      </c:scatterChart>
      <c:valAx>
        <c:axId val="937351024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8729505686789154"/>
              <c:y val="0.122514529172839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350608"/>
        <c:crosses val="autoZero"/>
        <c:crossBetween val="midCat"/>
      </c:valAx>
      <c:valAx>
        <c:axId val="9373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722222222222219"/>
              <c:y val="0.85711784779516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35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График функции с табуляцией 0,1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0715223097112861E-2"/>
          <c:y val="0.19179766302331833"/>
          <c:w val="0.90017366579177605"/>
          <c:h val="0.7022018757265499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Графики!$G$7:$G$47</c:f>
              <c:numCache>
                <c:formatCode>General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-0.90000000000010005</c:v>
                </c:pt>
                <c:pt idx="12">
                  <c:v>-0.80000000000009996</c:v>
                </c:pt>
                <c:pt idx="13">
                  <c:v>-0.70000000000010099</c:v>
                </c:pt>
                <c:pt idx="14">
                  <c:v>-0.60000000000009901</c:v>
                </c:pt>
                <c:pt idx="15">
                  <c:v>-0.50000000000009903</c:v>
                </c:pt>
                <c:pt idx="16">
                  <c:v>-0.4000000000001</c:v>
                </c:pt>
                <c:pt idx="17">
                  <c:v>-0.30000000000010002</c:v>
                </c:pt>
                <c:pt idx="18">
                  <c:v>-0.20000000000010101</c:v>
                </c:pt>
                <c:pt idx="19">
                  <c:v>-0.100000000000099</c:v>
                </c:pt>
                <c:pt idx="20">
                  <c:v>0</c:v>
                </c:pt>
                <c:pt idx="21">
                  <c:v>9.9999999999900197E-2</c:v>
                </c:pt>
                <c:pt idx="22">
                  <c:v>0.19999999999990001</c:v>
                </c:pt>
                <c:pt idx="23">
                  <c:v>0.29999999999989901</c:v>
                </c:pt>
                <c:pt idx="24">
                  <c:v>0.39999999999990099</c:v>
                </c:pt>
                <c:pt idx="25">
                  <c:v>0.49999999999990102</c:v>
                </c:pt>
                <c:pt idx="26">
                  <c:v>0.59999999999989995</c:v>
                </c:pt>
                <c:pt idx="27">
                  <c:v>0.69999999999990004</c:v>
                </c:pt>
                <c:pt idx="28">
                  <c:v>0.79999999999989901</c:v>
                </c:pt>
                <c:pt idx="29">
                  <c:v>0.89999999999990099</c:v>
                </c:pt>
                <c:pt idx="30">
                  <c:v>0.99999999999990097</c:v>
                </c:pt>
                <c:pt idx="31">
                  <c:v>1.0999999999998999</c:v>
                </c:pt>
                <c:pt idx="32">
                  <c:v>1.1999999999999</c:v>
                </c:pt>
                <c:pt idx="33">
                  <c:v>1.2999999999998999</c:v>
                </c:pt>
                <c:pt idx="34">
                  <c:v>1.3999999999999</c:v>
                </c:pt>
                <c:pt idx="35">
                  <c:v>1.4999999999999001</c:v>
                </c:pt>
                <c:pt idx="36">
                  <c:v>1.5999999999998999</c:v>
                </c:pt>
                <c:pt idx="37">
                  <c:v>1.6999999999999</c:v>
                </c:pt>
                <c:pt idx="38">
                  <c:v>1.7999999999998999</c:v>
                </c:pt>
                <c:pt idx="39">
                  <c:v>1.8999999999999</c:v>
                </c:pt>
                <c:pt idx="40">
                  <c:v>1.9999999999999001</c:v>
                </c:pt>
              </c:numCache>
            </c:numRef>
          </c:xVal>
          <c:yVal>
            <c:numRef>
              <c:f>Графики!$H$7:$H$47</c:f>
              <c:numCache>
                <c:formatCode>General</c:formatCode>
                <c:ptCount val="41"/>
                <c:pt idx="0">
                  <c:v>2.0800838230519041</c:v>
                </c:pt>
                <c:pt idx="1">
                  <c:v>2.0800553945668447</c:v>
                </c:pt>
                <c:pt idx="2">
                  <c:v>2.0798312017447014</c:v>
                </c:pt>
                <c:pt idx="3">
                  <c:v>2.0791335790534951</c:v>
                </c:pt>
                <c:pt idx="4">
                  <c:v>2.0775651781511653</c:v>
                </c:pt>
                <c:pt idx="5">
                  <c:v>2.0745663334156084</c:v>
                </c:pt>
                <c:pt idx="6">
                  <c:v>2.0693615510666823</c:v>
                </c:pt>
                <c:pt idx="7">
                  <c:v>2.0608967574352044</c:v>
                </c:pt>
                <c:pt idx="8">
                  <c:v>2.0477744456633338</c:v>
                </c:pt>
                <c:pt idx="9">
                  <c:v>2.0282040011534885</c:v>
                </c:pt>
                <c:pt idx="10">
                  <c:v>2</c:v>
                </c:pt>
                <c:pt idx="11">
                  <c:v>0.54728769076746075</c:v>
                </c:pt>
                <c:pt idx="12">
                  <c:v>0.56164245085225939</c:v>
                </c:pt>
                <c:pt idx="13">
                  <c:v>0.58356772994194805</c:v>
                </c:pt>
                <c:pt idx="14">
                  <c:v>0.61000194283150666</c:v>
                </c:pt>
                <c:pt idx="15">
                  <c:v>0.63725311934624462</c:v>
                </c:pt>
                <c:pt idx="16">
                  <c:v>0.66142439014840992</c:v>
                </c:pt>
                <c:pt idx="17">
                  <c:v>0.6788750099127363</c:v>
                </c:pt>
                <c:pt idx="18">
                  <c:v>0.68664958416779709</c:v>
                </c:pt>
                <c:pt idx="19">
                  <c:v>0.68281583212793451</c:v>
                </c:pt>
                <c:pt idx="20">
                  <c:v>0.66666666666666663</c:v>
                </c:pt>
                <c:pt idx="21">
                  <c:v>0.63876319779712398</c:v>
                </c:pt>
                <c:pt idx="22">
                  <c:v>0.60081838614686667</c:v>
                </c:pt>
                <c:pt idx="23">
                  <c:v>0.5554431899286616</c:v>
                </c:pt>
                <c:pt idx="24">
                  <c:v>0.50579512187826237</c:v>
                </c:pt>
                <c:pt idx="25">
                  <c:v>0.45518079953310009</c:v>
                </c:pt>
                <c:pt idx="26">
                  <c:v>0.40666796188773574</c:v>
                </c:pt>
                <c:pt idx="27">
                  <c:v>0.36275831861261887</c:v>
                </c:pt>
                <c:pt idx="28">
                  <c:v>0.32516141891451117</c:v>
                </c:pt>
                <c:pt idx="29">
                  <c:v>0.29469337195174145</c:v>
                </c:pt>
                <c:pt idx="30">
                  <c:v>0.27130528227963918</c:v>
                </c:pt>
                <c:pt idx="31">
                  <c:v>0.25422752015245936</c:v>
                </c:pt>
                <c:pt idx="32">
                  <c:v>0.24220012265698812</c:v>
                </c:pt>
                <c:pt idx="33">
                  <c:v>0.23374888540188477</c:v>
                </c:pt>
                <c:pt idx="34">
                  <c:v>0.22746240101806292</c:v>
                </c:pt>
                <c:pt idx="35">
                  <c:v>0.22222778611802116</c:v>
                </c:pt>
                <c:pt idx="36">
                  <c:v>0.21739146237987375</c:v>
                </c:pt>
                <c:pt idx="37">
                  <c:v>0.2128245936178762</c:v>
                </c:pt>
                <c:pt idx="38">
                  <c:v>0.20888848044780725</c:v>
                </c:pt>
                <c:pt idx="39">
                  <c:v>0.20631094374807785</c:v>
                </c:pt>
                <c:pt idx="40">
                  <c:v>0.20599813706842235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B0-41EF-9275-B606E263F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038272"/>
        <c:axId val="1094035360"/>
      </c:scatterChart>
      <c:valAx>
        <c:axId val="1094038272"/>
        <c:scaling>
          <c:orientation val="minMax"/>
          <c:max val="2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7618394575678041"/>
              <c:y val="0.121752405102822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4035360"/>
        <c:crosses val="autoZero"/>
        <c:crossBetween val="midCat"/>
      </c:valAx>
      <c:valAx>
        <c:axId val="10940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5"/>
              <c:y val="0.871135995751605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403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биометров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Параметры!$C$8</c:f>
              <c:strCache>
                <c:ptCount val="1"/>
                <c:pt idx="0">
                  <c:v>Физический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Параметры!$A$9:$A$38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Параметры!$C$9:$C$38</c:f>
              <c:numCache>
                <c:formatCode>General</c:formatCode>
                <c:ptCount val="30"/>
                <c:pt idx="0">
                  <c:v>0.13616664909534149</c:v>
                </c:pt>
                <c:pt idx="1">
                  <c:v>-0.13616664909631829</c:v>
                </c:pt>
                <c:pt idx="2">
                  <c:v>-0.39840108984553624</c:v>
                </c:pt>
                <c:pt idx="3">
                  <c:v>-0.63108794432621484</c:v>
                </c:pt>
                <c:pt idx="4">
                  <c:v>-0.81696989301112632</c:v>
                </c:pt>
                <c:pt idx="5">
                  <c:v>-0.94226092211893619</c:v>
                </c:pt>
                <c:pt idx="6">
                  <c:v>-0.9976687691905054</c:v>
                </c:pt>
                <c:pt idx="7">
                  <c:v>-0.97908408768222477</c:v>
                </c:pt>
                <c:pt idx="8">
                  <c:v>-0.88788521840254053</c:v>
                </c:pt>
                <c:pt idx="9">
                  <c:v>-0.73083596427770192</c:v>
                </c:pt>
                <c:pt idx="10">
                  <c:v>-0.51958395003562385</c:v>
                </c:pt>
                <c:pt idx="11">
                  <c:v>-0.26979677115629724</c:v>
                </c:pt>
                <c:pt idx="12">
                  <c:v>-8.6224430373427197E-14</c:v>
                </c:pt>
                <c:pt idx="13">
                  <c:v>0.26979677115613121</c:v>
                </c:pt>
                <c:pt idx="14">
                  <c:v>0.51958395003703073</c:v>
                </c:pt>
                <c:pt idx="15">
                  <c:v>0.7308359642788258</c:v>
                </c:pt>
                <c:pt idx="16">
                  <c:v>0.88788521840246115</c:v>
                </c:pt>
                <c:pt idx="17">
                  <c:v>0.97908408768218969</c:v>
                </c:pt>
                <c:pt idx="18">
                  <c:v>0.99766876919051717</c:v>
                </c:pt>
                <c:pt idx="19">
                  <c:v>0.94226092211838475</c:v>
                </c:pt>
                <c:pt idx="20">
                  <c:v>0.81696989301017686</c:v>
                </c:pt>
                <c:pt idx="21">
                  <c:v>0.63108794432634863</c:v>
                </c:pt>
                <c:pt idx="22">
                  <c:v>0.39840108984569444</c:v>
                </c:pt>
                <c:pt idx="23">
                  <c:v>0.13616664909648912</c:v>
                </c:pt>
                <c:pt idx="24">
                  <c:v>-0.13616664909697271</c:v>
                </c:pt>
                <c:pt idx="25">
                  <c:v>-0.39840108984614214</c:v>
                </c:pt>
                <c:pt idx="26">
                  <c:v>-0.63108794432672721</c:v>
                </c:pt>
                <c:pt idx="27">
                  <c:v>-0.8169698930104583</c:v>
                </c:pt>
                <c:pt idx="28">
                  <c:v>-0.94226092211854828</c:v>
                </c:pt>
                <c:pt idx="29">
                  <c:v>-0.99766876919055048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3-4CF6-8662-8837A258FF73}"/>
            </c:ext>
          </c:extLst>
        </c:ser>
        <c:ser>
          <c:idx val="1"/>
          <c:order val="1"/>
          <c:tx>
            <c:strRef>
              <c:f>Параметры!$D$8</c:f>
              <c:strCache>
                <c:ptCount val="1"/>
                <c:pt idx="0">
                  <c:v>Эмоциональный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Параметры!$A$9:$A$38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Параметры!$D$9:$D$38</c:f>
              <c:numCache>
                <c:formatCode>General</c:formatCode>
                <c:ptCount val="30"/>
                <c:pt idx="0">
                  <c:v>0.4338837391182282</c:v>
                </c:pt>
                <c:pt idx="1">
                  <c:v>0.22252093395549644</c:v>
                </c:pt>
                <c:pt idx="2">
                  <c:v>-6.0275330733550181E-13</c:v>
                </c:pt>
                <c:pt idx="3">
                  <c:v>-0.22252093395578501</c:v>
                </c:pt>
                <c:pt idx="4">
                  <c:v>-0.43388373911849487</c:v>
                </c:pt>
                <c:pt idx="5">
                  <c:v>-0.62348980185936165</c:v>
                </c:pt>
                <c:pt idx="6">
                  <c:v>-0.78183148246781642</c:v>
                </c:pt>
                <c:pt idx="7">
                  <c:v>-0.90096886790216812</c:v>
                </c:pt>
                <c:pt idx="8">
                  <c:v>-0.97492791218204711</c:v>
                </c:pt>
                <c:pt idx="9">
                  <c:v>-1</c:v>
                </c:pt>
                <c:pt idx="10">
                  <c:v>-0.97492791218190766</c:v>
                </c:pt>
                <c:pt idx="11">
                  <c:v>-0.90096886790189634</c:v>
                </c:pt>
                <c:pt idx="12">
                  <c:v>-0.78183148246799294</c:v>
                </c:pt>
                <c:pt idx="13">
                  <c:v>-0.62348980185887204</c:v>
                </c:pt>
                <c:pt idx="14">
                  <c:v>-0.4338837391179306</c:v>
                </c:pt>
                <c:pt idx="15">
                  <c:v>-0.22252093395606112</c:v>
                </c:pt>
                <c:pt idx="16">
                  <c:v>2.3538462845529295E-14</c:v>
                </c:pt>
                <c:pt idx="17">
                  <c:v>0.222520933956107</c:v>
                </c:pt>
                <c:pt idx="18">
                  <c:v>0.43388373911797301</c:v>
                </c:pt>
                <c:pt idx="19">
                  <c:v>0.6234898018589089</c:v>
                </c:pt>
                <c:pt idx="20">
                  <c:v>0.78183148246802237</c:v>
                </c:pt>
                <c:pt idx="21">
                  <c:v>0.90096886790231134</c:v>
                </c:pt>
                <c:pt idx="22">
                  <c:v>0.97492791218191821</c:v>
                </c:pt>
                <c:pt idx="23">
                  <c:v>1</c:v>
                </c:pt>
                <c:pt idx="24">
                  <c:v>0.97492791218183417</c:v>
                </c:pt>
                <c:pt idx="25">
                  <c:v>0.9009688679021477</c:v>
                </c:pt>
                <c:pt idx="26">
                  <c:v>0.781831482467787</c:v>
                </c:pt>
                <c:pt idx="27">
                  <c:v>0.6234898018586138</c:v>
                </c:pt>
                <c:pt idx="28">
                  <c:v>0.43388373911763306</c:v>
                </c:pt>
                <c:pt idx="29">
                  <c:v>0.2225209339557391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3-4CF6-8662-8837A258FF73}"/>
            </c:ext>
          </c:extLst>
        </c:ser>
        <c:ser>
          <c:idx val="2"/>
          <c:order val="2"/>
          <c:tx>
            <c:strRef>
              <c:f>Параметры!$E$8</c:f>
              <c:strCache>
                <c:ptCount val="1"/>
                <c:pt idx="0">
                  <c:v>Интеллектуальный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Параметры!$A$9:$A$38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Параметры!$E$9:$E$38</c:f>
              <c:numCache>
                <c:formatCode>General</c:formatCode>
                <c:ptCount val="30"/>
                <c:pt idx="0">
                  <c:v>0.99886733918302784</c:v>
                </c:pt>
                <c:pt idx="1">
                  <c:v>0.98982144188091381</c:v>
                </c:pt>
                <c:pt idx="2">
                  <c:v>0.94500081871471753</c:v>
                </c:pt>
                <c:pt idx="3">
                  <c:v>0.86602540378420045</c:v>
                </c:pt>
                <c:pt idx="4">
                  <c:v>0.75574957435413181</c:v>
                </c:pt>
                <c:pt idx="5">
                  <c:v>0.61815898622067589</c:v>
                </c:pt>
                <c:pt idx="6">
                  <c:v>0.45822652172774203</c:v>
                </c:pt>
                <c:pt idx="7">
                  <c:v>0.28173255684118675</c:v>
                </c:pt>
                <c:pt idx="8">
                  <c:v>9.5056043304212454E-2</c:v>
                </c:pt>
                <c:pt idx="9">
                  <c:v>-9.5056043304776391E-2</c:v>
                </c:pt>
                <c:pt idx="10">
                  <c:v>-0.28173255684173026</c:v>
                </c:pt>
                <c:pt idx="11">
                  <c:v>-0.45822652172824557</c:v>
                </c:pt>
                <c:pt idx="12">
                  <c:v>-0.6181589862211212</c:v>
                </c:pt>
                <c:pt idx="13">
                  <c:v>-0.75574957435450274</c:v>
                </c:pt>
                <c:pt idx="14">
                  <c:v>-0.86602540378448378</c:v>
                </c:pt>
                <c:pt idx="15">
                  <c:v>-0.94500081871490282</c:v>
                </c:pt>
                <c:pt idx="16">
                  <c:v>-0.98982144188099441</c:v>
                </c:pt>
                <c:pt idx="17">
                  <c:v>-0.99886733918300086</c:v>
                </c:pt>
                <c:pt idx="18">
                  <c:v>-0.97181156832357307</c:v>
                </c:pt>
                <c:pt idx="19">
                  <c:v>-0.90963199535431338</c:v>
                </c:pt>
                <c:pt idx="20">
                  <c:v>-0.81457595205021371</c:v>
                </c:pt>
                <c:pt idx="21">
                  <c:v>-0.69007901148216477</c:v>
                </c:pt>
                <c:pt idx="22">
                  <c:v>-0.54064081745589709</c:v>
                </c:pt>
                <c:pt idx="23">
                  <c:v>-0.37166245566007655</c:v>
                </c:pt>
                <c:pt idx="24">
                  <c:v>-0.18925124436042279</c:v>
                </c:pt>
                <c:pt idx="25">
                  <c:v>6.1353136113218021E-13</c:v>
                </c:pt>
                <c:pt idx="26">
                  <c:v>0.18925124436073462</c:v>
                </c:pt>
                <c:pt idx="27">
                  <c:v>0.37166245566037137</c:v>
                </c:pt>
                <c:pt idx="28">
                  <c:v>0.54064081745616421</c:v>
                </c:pt>
                <c:pt idx="29">
                  <c:v>0.69007901148239459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13-4CF6-8662-8837A258F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663039"/>
        <c:axId val="528666367"/>
      </c:lineChart>
      <c:catAx>
        <c:axId val="5286630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666367"/>
        <c:crosses val="autoZero"/>
        <c:auto val="0"/>
        <c:lblAlgn val="ctr"/>
        <c:lblOffset val="100"/>
        <c:noMultiLvlLbl val="0"/>
      </c:catAx>
      <c:valAx>
        <c:axId val="52866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66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</xdr:colOff>
      <xdr:row>1</xdr:row>
      <xdr:rowOff>10886</xdr:rowOff>
    </xdr:from>
    <xdr:to>
      <xdr:col>10</xdr:col>
      <xdr:colOff>283029</xdr:colOff>
      <xdr:row>20</xdr:row>
      <xdr:rowOff>163285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CD1B950-57A3-4673-BC2D-8A20FBED1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6625</xdr:colOff>
      <xdr:row>0</xdr:row>
      <xdr:rowOff>159025</xdr:rowOff>
    </xdr:from>
    <xdr:to>
      <xdr:col>22</xdr:col>
      <xdr:colOff>468086</xdr:colOff>
      <xdr:row>20</xdr:row>
      <xdr:rowOff>174171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D8A3866-1A93-4513-AFED-7C72457F0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587187</xdr:colOff>
      <xdr:row>4</xdr:row>
      <xdr:rowOff>26894</xdr:rowOff>
    </xdr:from>
    <xdr:to>
      <xdr:col>16</xdr:col>
      <xdr:colOff>388882</xdr:colOff>
      <xdr:row>19</xdr:row>
      <xdr:rowOff>89337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79E9DF-ECF9-4754-A711-462FD42B7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4482</xdr:colOff>
      <xdr:row>3</xdr:row>
      <xdr:rowOff>170330</xdr:rowOff>
    </xdr:from>
    <xdr:to>
      <xdr:col>24</xdr:col>
      <xdr:colOff>309282</xdr:colOff>
      <xdr:row>19</xdr:row>
      <xdr:rowOff>44824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24FB4B2-23BA-43C4-8CCE-E7AFB527C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575121</xdr:colOff>
      <xdr:row>20</xdr:row>
      <xdr:rowOff>346</xdr:rowOff>
    </xdr:from>
    <xdr:to>
      <xdr:col>20</xdr:col>
      <xdr:colOff>270321</xdr:colOff>
      <xdr:row>35</xdr:row>
      <xdr:rowOff>54134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94003D9-4FE5-4161-923B-C396532B4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21771</xdr:colOff>
      <xdr:row>5</xdr:row>
      <xdr:rowOff>10885</xdr:rowOff>
    </xdr:from>
    <xdr:to>
      <xdr:col>21</xdr:col>
      <xdr:colOff>54428</xdr:colOff>
      <xdr:row>28</xdr:row>
      <xdr:rowOff>54428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2A126B5-C38B-4485-98E6-3E23A75DF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3FE0-8A46-404C-8ABD-7EE1123A7F90}">
  <dimension ref="B3:U20"/>
  <sheetViews>
    <sheetView topLeftCell="G7" zoomScale="130" zoomScaleNormal="130" workbookViewId="0">
      <selection activeCell="S14" sqref="S14:U19"/>
    </sheetView>
  </sheetViews>
  <sheetFormatPr defaultRowHeight="14.4" x14ac:dyDescent="0.3"/>
  <cols>
    <col min="4" max="4" width="13.77734375" customWidth="1"/>
    <col min="5" max="5" width="11.77734375" style="1" customWidth="1"/>
    <col min="6" max="6" width="11.77734375" customWidth="1"/>
    <col min="7" max="7" width="11.6640625" customWidth="1"/>
    <col min="8" max="9" width="11.77734375" customWidth="1"/>
    <col min="12" max="12" width="10.109375" customWidth="1"/>
    <col min="13" max="13" width="9.77734375" customWidth="1"/>
    <col min="19" max="19" width="10" customWidth="1"/>
  </cols>
  <sheetData>
    <row r="3" spans="2:21" ht="15.6" x14ac:dyDescent="0.3">
      <c r="B3" s="28" t="s">
        <v>15</v>
      </c>
      <c r="C3" s="28"/>
      <c r="D3" s="28"/>
      <c r="E3" s="28"/>
      <c r="F3" s="28"/>
      <c r="G3" s="28"/>
      <c r="H3" s="28"/>
      <c r="I3" s="28"/>
      <c r="J3" s="28"/>
      <c r="K3" s="28"/>
    </row>
    <row r="4" spans="2:21" ht="15" thickBot="1" x14ac:dyDescent="0.35"/>
    <row r="5" spans="2:21" ht="15.6" customHeight="1" thickTop="1" thickBot="1" x14ac:dyDescent="0.35">
      <c r="D5" s="36" t="s">
        <v>0</v>
      </c>
      <c r="E5" s="35" t="s">
        <v>1</v>
      </c>
      <c r="F5" s="35"/>
      <c r="G5" s="35" t="s">
        <v>2</v>
      </c>
      <c r="H5" s="35"/>
      <c r="I5" s="35"/>
    </row>
    <row r="6" spans="2:21" ht="84.6" customHeight="1" thickTop="1" thickBot="1" x14ac:dyDescent="0.35">
      <c r="D6" s="37"/>
      <c r="E6" s="23" t="s">
        <v>3</v>
      </c>
      <c r="F6" s="23" t="s">
        <v>4</v>
      </c>
      <c r="G6" s="23" t="s">
        <v>3</v>
      </c>
      <c r="H6" s="23" t="s">
        <v>5</v>
      </c>
      <c r="I6" s="23" t="s">
        <v>6</v>
      </c>
    </row>
    <row r="7" spans="2:21" ht="13.8" customHeight="1" thickTop="1" thickBot="1" x14ac:dyDescent="0.35">
      <c r="D7" s="2">
        <v>1</v>
      </c>
      <c r="E7" s="3">
        <v>2</v>
      </c>
      <c r="F7" s="4">
        <v>3</v>
      </c>
      <c r="G7" s="4">
        <v>4</v>
      </c>
      <c r="H7" s="4">
        <v>5</v>
      </c>
      <c r="I7" s="4">
        <v>6</v>
      </c>
      <c r="S7" t="s">
        <v>36</v>
      </c>
      <c r="T7" t="s">
        <v>37</v>
      </c>
      <c r="U7" t="s">
        <v>38</v>
      </c>
    </row>
    <row r="8" spans="2:21" ht="12" customHeight="1" thickTop="1" x14ac:dyDescent="0.3">
      <c r="D8" s="5" t="s">
        <v>7</v>
      </c>
      <c r="E8" s="6">
        <v>130</v>
      </c>
      <c r="F8" s="6">
        <v>442000</v>
      </c>
      <c r="G8" s="6">
        <v>165</v>
      </c>
      <c r="H8" s="6">
        <v>3.4</v>
      </c>
      <c r="I8" s="6">
        <v>442000</v>
      </c>
      <c r="K8" s="15" t="s">
        <v>16</v>
      </c>
      <c r="L8" s="15" t="s">
        <v>17</v>
      </c>
      <c r="M8" s="15" t="s">
        <v>18</v>
      </c>
      <c r="S8" s="5" t="s">
        <v>7</v>
      </c>
      <c r="T8" s="6">
        <v>130</v>
      </c>
      <c r="U8" s="6">
        <v>165</v>
      </c>
    </row>
    <row r="9" spans="2:21" x14ac:dyDescent="0.3">
      <c r="D9" s="7" t="s">
        <v>11</v>
      </c>
      <c r="E9" s="8">
        <v>126</v>
      </c>
      <c r="F9" s="9">
        <v>541800</v>
      </c>
      <c r="G9" s="10">
        <v>123</v>
      </c>
      <c r="H9" s="10">
        <v>4.3</v>
      </c>
      <c r="I9" s="9">
        <v>541800</v>
      </c>
      <c r="K9" s="25">
        <f>(I13-F13)/25</f>
        <v>0</v>
      </c>
      <c r="L9" s="25">
        <f>SUM(F8:F12)</f>
        <v>1512300</v>
      </c>
      <c r="M9" s="25">
        <f>SUM(I8:I12)</f>
        <v>1512300</v>
      </c>
      <c r="S9" s="7" t="s">
        <v>11</v>
      </c>
      <c r="T9" s="8">
        <v>126</v>
      </c>
      <c r="U9" s="10">
        <v>123</v>
      </c>
    </row>
    <row r="10" spans="2:21" x14ac:dyDescent="0.3">
      <c r="D10" s="7" t="s">
        <v>12</v>
      </c>
      <c r="E10" s="8">
        <v>56</v>
      </c>
      <c r="F10" s="9">
        <v>235200</v>
      </c>
      <c r="G10" s="10">
        <v>78</v>
      </c>
      <c r="H10" s="10">
        <v>4.2</v>
      </c>
      <c r="I10" s="9">
        <v>235200</v>
      </c>
      <c r="S10" s="7" t="s">
        <v>12</v>
      </c>
      <c r="T10" s="8">
        <v>56</v>
      </c>
      <c r="U10" s="10">
        <v>78</v>
      </c>
    </row>
    <row r="11" spans="2:21" x14ac:dyDescent="0.3">
      <c r="D11" s="7" t="s">
        <v>13</v>
      </c>
      <c r="E11" s="8">
        <v>13</v>
      </c>
      <c r="F11" s="9">
        <v>113099.99999999999</v>
      </c>
      <c r="G11" s="10">
        <v>12</v>
      </c>
      <c r="H11" s="10">
        <v>8.6999999999999993</v>
      </c>
      <c r="I11" s="9">
        <v>113099.99999999999</v>
      </c>
      <c r="S11" s="7" t="s">
        <v>13</v>
      </c>
      <c r="T11" s="8">
        <v>13</v>
      </c>
      <c r="U11" s="10">
        <v>12</v>
      </c>
    </row>
    <row r="12" spans="2:21" ht="15" thickBot="1" x14ac:dyDescent="0.35">
      <c r="D12" s="11" t="s">
        <v>14</v>
      </c>
      <c r="E12" s="12">
        <v>34</v>
      </c>
      <c r="F12" s="13">
        <v>180200</v>
      </c>
      <c r="G12" s="14">
        <v>31</v>
      </c>
      <c r="H12" s="14">
        <v>5.3</v>
      </c>
      <c r="I12" s="13">
        <v>180200</v>
      </c>
      <c r="S12" s="11" t="s">
        <v>14</v>
      </c>
      <c r="T12" s="12">
        <v>34</v>
      </c>
      <c r="U12" s="14">
        <v>31</v>
      </c>
    </row>
    <row r="13" spans="2:21" ht="15.6" thickTop="1" thickBot="1" x14ac:dyDescent="0.35">
      <c r="D13" s="24" t="s">
        <v>8</v>
      </c>
      <c r="E13" s="23">
        <f>SUM(E8:E12)</f>
        <v>359</v>
      </c>
      <c r="F13" s="22">
        <f>L9</f>
        <v>1512300</v>
      </c>
      <c r="G13" s="22">
        <f>SUM(G8:G12)</f>
        <v>409</v>
      </c>
      <c r="H13" s="22" t="s">
        <v>10</v>
      </c>
      <c r="I13" s="22">
        <f>M9</f>
        <v>1512300</v>
      </c>
      <c r="S13" s="29"/>
      <c r="T13" s="30"/>
      <c r="U13" s="31"/>
    </row>
    <row r="14" spans="2:21" ht="15.6" thickTop="1" thickBot="1" x14ac:dyDescent="0.35">
      <c r="D14" s="38" t="s">
        <v>9</v>
      </c>
      <c r="E14" s="38"/>
      <c r="F14" s="38"/>
      <c r="G14" s="38"/>
      <c r="H14" s="38"/>
      <c r="I14" s="35">
        <f>K9</f>
        <v>0</v>
      </c>
      <c r="S14" s="32" t="s">
        <v>36</v>
      </c>
      <c r="T14" s="33" t="s">
        <v>39</v>
      </c>
      <c r="U14" s="34" t="s">
        <v>40</v>
      </c>
    </row>
    <row r="15" spans="2:21" ht="28.8" thickTop="1" thickBot="1" x14ac:dyDescent="0.35">
      <c r="D15" s="38"/>
      <c r="E15" s="38"/>
      <c r="F15" s="38"/>
      <c r="G15" s="38"/>
      <c r="H15" s="38"/>
      <c r="I15" s="35"/>
      <c r="S15" s="5" t="s">
        <v>7</v>
      </c>
      <c r="T15" s="6">
        <v>442000</v>
      </c>
      <c r="U15" s="6">
        <v>442000</v>
      </c>
    </row>
    <row r="16" spans="2:21" ht="15" thickTop="1" x14ac:dyDescent="0.3">
      <c r="S16" s="7" t="s">
        <v>11</v>
      </c>
      <c r="T16" s="9">
        <v>541800</v>
      </c>
      <c r="U16" s="9">
        <v>541800</v>
      </c>
    </row>
    <row r="17" spans="19:21" x14ac:dyDescent="0.3">
      <c r="S17" s="7" t="s">
        <v>12</v>
      </c>
      <c r="T17" s="9">
        <v>235200</v>
      </c>
      <c r="U17" s="9">
        <v>235200</v>
      </c>
    </row>
    <row r="18" spans="19:21" x14ac:dyDescent="0.3">
      <c r="S18" s="7" t="s">
        <v>13</v>
      </c>
      <c r="T18" s="9">
        <v>113099.99999999999</v>
      </c>
      <c r="U18" s="9">
        <v>113099.99999999999</v>
      </c>
    </row>
    <row r="19" spans="19:21" ht="15" thickBot="1" x14ac:dyDescent="0.35">
      <c r="S19" s="11" t="s">
        <v>14</v>
      </c>
      <c r="T19" s="13">
        <v>180200</v>
      </c>
      <c r="U19" s="13">
        <v>180200</v>
      </c>
    </row>
    <row r="20" spans="19:21" ht="15" thickTop="1" x14ac:dyDescent="0.3"/>
  </sheetData>
  <mergeCells count="5">
    <mergeCell ref="E5:F5"/>
    <mergeCell ref="G5:I5"/>
    <mergeCell ref="D5:D6"/>
    <mergeCell ref="D14:H15"/>
    <mergeCell ref="I14:I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A48F-319B-44DD-9B5A-BC776E48863F}">
  <dimension ref="A1"/>
  <sheetViews>
    <sheetView zoomScale="85" zoomScaleNormal="85" workbookViewId="0">
      <selection activeCell="I28" sqref="I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53DF-4A2F-46A1-B1CA-A21604DCD53E}">
  <dimension ref="A1:H47"/>
  <sheetViews>
    <sheetView topLeftCell="A4" zoomScale="85" zoomScaleNormal="85" workbookViewId="0">
      <selection activeCell="Q6" sqref="Q6"/>
    </sheetView>
  </sheetViews>
  <sheetFormatPr defaultRowHeight="14.4" x14ac:dyDescent="0.3"/>
  <sheetData>
    <row r="1" spans="1:8" x14ac:dyDescent="0.3">
      <c r="A1" t="e" cm="1">
        <f t="array" ref="A1">B12=IF(x&lt;=-1, (1+ABS(x))/((1+x+x*x)^(1/3)), (1+(COS(x)^4))/(3+x))</f>
        <v>#NAME?</v>
      </c>
    </row>
    <row r="5" spans="1:8" x14ac:dyDescent="0.3">
      <c r="A5" s="39">
        <v>0.5</v>
      </c>
      <c r="B5" s="39"/>
      <c r="D5" s="40">
        <v>0.2</v>
      </c>
      <c r="E5" s="40"/>
      <c r="G5" s="41">
        <v>0.1</v>
      </c>
      <c r="H5" s="41"/>
    </row>
    <row r="6" spans="1:8" x14ac:dyDescent="0.3">
      <c r="A6" s="16" t="s">
        <v>19</v>
      </c>
      <c r="B6" s="16" t="s">
        <v>20</v>
      </c>
      <c r="D6" s="17" t="s">
        <v>19</v>
      </c>
      <c r="E6" s="17" t="s">
        <v>20</v>
      </c>
      <c r="G6" s="18" t="s">
        <v>19</v>
      </c>
      <c r="H6" s="18" t="s">
        <v>20</v>
      </c>
    </row>
    <row r="7" spans="1:8" x14ac:dyDescent="0.3">
      <c r="A7">
        <v>-2</v>
      </c>
      <c r="B7">
        <f t="shared" ref="B7:B15" si="0">IF(A7&lt;=-1, (1+ABS(A7))/((1+A7+A7*A7)^(1/3)), (1+(COS(A7)^4))/(3+A7))</f>
        <v>2.0800838230519041</v>
      </c>
      <c r="D7">
        <v>-2</v>
      </c>
      <c r="E7">
        <f t="shared" ref="E7:E27" si="1">IF(D7&lt;=-1, (1+ABS(D7))/((1+D7+D7*D7)^(1/3)), (1+(COS(D7)^4))/(3+D7))</f>
        <v>2.0800838230519041</v>
      </c>
      <c r="G7">
        <v>-2</v>
      </c>
      <c r="H7">
        <f t="shared" ref="H7:H47" si="2">IF(G7&lt;=-1, (1+ABS(G7))/((1+G7+G7*G7)^(1/3)), (1+(COS(G7)^4))/(3+G7))</f>
        <v>2.0800838230519041</v>
      </c>
    </row>
    <row r="8" spans="1:8" x14ac:dyDescent="0.3">
      <c r="A8">
        <v>-1.5</v>
      </c>
      <c r="B8">
        <f t="shared" si="0"/>
        <v>2.0745663334156084</v>
      </c>
      <c r="D8">
        <v>-1.8</v>
      </c>
      <c r="E8">
        <f t="shared" si="1"/>
        <v>2.0798312017447014</v>
      </c>
      <c r="G8">
        <v>-1.9</v>
      </c>
      <c r="H8">
        <f t="shared" si="2"/>
        <v>2.0800553945668447</v>
      </c>
    </row>
    <row r="9" spans="1:8" x14ac:dyDescent="0.3">
      <c r="A9">
        <v>-1</v>
      </c>
      <c r="B9">
        <f t="shared" si="0"/>
        <v>2</v>
      </c>
      <c r="D9">
        <v>-1.6</v>
      </c>
      <c r="E9">
        <f t="shared" si="1"/>
        <v>2.0775651781511653</v>
      </c>
      <c r="G9">
        <v>-1.8</v>
      </c>
      <c r="H9">
        <f t="shared" si="2"/>
        <v>2.0798312017447014</v>
      </c>
    </row>
    <row r="10" spans="1:8" x14ac:dyDescent="0.3">
      <c r="A10">
        <v>-0.5</v>
      </c>
      <c r="B10">
        <f t="shared" si="0"/>
        <v>0.63725311934627082</v>
      </c>
      <c r="D10">
        <v>-1.4</v>
      </c>
      <c r="E10">
        <f t="shared" si="1"/>
        <v>2.0693615510666823</v>
      </c>
      <c r="G10">
        <v>-1.7</v>
      </c>
      <c r="H10">
        <f t="shared" si="2"/>
        <v>2.0791335790534951</v>
      </c>
    </row>
    <row r="11" spans="1:8" x14ac:dyDescent="0.3">
      <c r="A11">
        <v>0</v>
      </c>
      <c r="B11">
        <f t="shared" si="0"/>
        <v>0.66666666666666663</v>
      </c>
      <c r="D11">
        <v>-1.2</v>
      </c>
      <c r="E11">
        <f t="shared" si="1"/>
        <v>2.0477744456633338</v>
      </c>
      <c r="G11">
        <v>-1.6</v>
      </c>
      <c r="H11">
        <f t="shared" si="2"/>
        <v>2.0775651781511653</v>
      </c>
    </row>
    <row r="12" spans="1:8" x14ac:dyDescent="0.3">
      <c r="A12">
        <v>0.5</v>
      </c>
      <c r="B12">
        <f t="shared" si="0"/>
        <v>0.45518079953305063</v>
      </c>
      <c r="D12">
        <v>-1</v>
      </c>
      <c r="E12">
        <f t="shared" si="1"/>
        <v>2</v>
      </c>
      <c r="G12">
        <v>-1.5</v>
      </c>
      <c r="H12">
        <f t="shared" si="2"/>
        <v>2.0745663334156084</v>
      </c>
    </row>
    <row r="13" spans="1:8" x14ac:dyDescent="0.3">
      <c r="A13">
        <v>1</v>
      </c>
      <c r="B13">
        <f t="shared" si="0"/>
        <v>0.27130528227961936</v>
      </c>
      <c r="D13">
        <v>-0.80000000000009996</v>
      </c>
      <c r="E13">
        <f t="shared" si="1"/>
        <v>0.56164245085225939</v>
      </c>
      <c r="G13">
        <v>-1.4</v>
      </c>
      <c r="H13">
        <f t="shared" si="2"/>
        <v>2.0693615510666823</v>
      </c>
    </row>
    <row r="14" spans="1:8" x14ac:dyDescent="0.3">
      <c r="A14">
        <v>1.5</v>
      </c>
      <c r="B14">
        <f t="shared" si="0"/>
        <v>0.22222778611801625</v>
      </c>
      <c r="D14">
        <v>-0.60000000000009901</v>
      </c>
      <c r="E14">
        <f t="shared" si="1"/>
        <v>0.61000194283150666</v>
      </c>
      <c r="G14">
        <v>-1.3</v>
      </c>
      <c r="H14">
        <f t="shared" si="2"/>
        <v>2.0608967574352044</v>
      </c>
    </row>
    <row r="15" spans="1:8" x14ac:dyDescent="0.3">
      <c r="A15">
        <v>2</v>
      </c>
      <c r="B15">
        <f t="shared" si="0"/>
        <v>0.20599813706842349</v>
      </c>
      <c r="D15">
        <v>-0.4000000000001</v>
      </c>
      <c r="E15">
        <f t="shared" si="1"/>
        <v>0.66142439014840992</v>
      </c>
      <c r="G15">
        <v>-1.2</v>
      </c>
      <c r="H15">
        <f t="shared" si="2"/>
        <v>2.0477744456633338</v>
      </c>
    </row>
    <row r="16" spans="1:8" x14ac:dyDescent="0.3">
      <c r="D16">
        <v>-0.20000000000010101</v>
      </c>
      <c r="E16">
        <f t="shared" si="1"/>
        <v>0.68664958416779709</v>
      </c>
      <c r="G16">
        <v>-1.1000000000000001</v>
      </c>
      <c r="H16">
        <f t="shared" si="2"/>
        <v>2.0282040011534885</v>
      </c>
    </row>
    <row r="17" spans="4:8" x14ac:dyDescent="0.3">
      <c r="D17">
        <v>0</v>
      </c>
      <c r="E17">
        <f t="shared" si="1"/>
        <v>0.66666666666666663</v>
      </c>
      <c r="G17">
        <v>-1</v>
      </c>
      <c r="H17">
        <f t="shared" si="2"/>
        <v>2</v>
      </c>
    </row>
    <row r="18" spans="4:8" x14ac:dyDescent="0.3">
      <c r="D18">
        <v>0.19999999999990001</v>
      </c>
      <c r="E18">
        <f t="shared" si="1"/>
        <v>0.60081838614686667</v>
      </c>
      <c r="G18">
        <v>-0.90000000000010005</v>
      </c>
      <c r="H18">
        <f t="shared" si="2"/>
        <v>0.54728769076746075</v>
      </c>
    </row>
    <row r="19" spans="4:8" x14ac:dyDescent="0.3">
      <c r="D19">
        <v>0.39999999999990099</v>
      </c>
      <c r="E19">
        <f t="shared" si="1"/>
        <v>0.50579512187826237</v>
      </c>
      <c r="G19">
        <v>-0.80000000000009996</v>
      </c>
      <c r="H19">
        <f t="shared" si="2"/>
        <v>0.56164245085225939</v>
      </c>
    </row>
    <row r="20" spans="4:8" x14ac:dyDescent="0.3">
      <c r="D20">
        <v>0.59999999999989995</v>
      </c>
      <c r="E20">
        <f t="shared" si="1"/>
        <v>0.40666796188773574</v>
      </c>
      <c r="G20">
        <v>-0.70000000000010099</v>
      </c>
      <c r="H20">
        <f t="shared" si="2"/>
        <v>0.58356772994194805</v>
      </c>
    </row>
    <row r="21" spans="4:8" x14ac:dyDescent="0.3">
      <c r="D21">
        <v>0.79999999999989901</v>
      </c>
      <c r="E21">
        <f t="shared" si="1"/>
        <v>0.32516141891451117</v>
      </c>
      <c r="G21">
        <v>-0.60000000000009901</v>
      </c>
      <c r="H21">
        <f t="shared" si="2"/>
        <v>0.61000194283150666</v>
      </c>
    </row>
    <row r="22" spans="4:8" x14ac:dyDescent="0.3">
      <c r="D22">
        <v>0.99999999999990097</v>
      </c>
      <c r="E22">
        <f t="shared" si="1"/>
        <v>0.27130528227963918</v>
      </c>
      <c r="G22">
        <v>-0.50000000000009903</v>
      </c>
      <c r="H22">
        <f t="shared" si="2"/>
        <v>0.63725311934624462</v>
      </c>
    </row>
    <row r="23" spans="4:8" x14ac:dyDescent="0.3">
      <c r="D23">
        <v>1.1999999999999</v>
      </c>
      <c r="E23">
        <f t="shared" si="1"/>
        <v>0.24220012265698812</v>
      </c>
      <c r="G23">
        <v>-0.4000000000001</v>
      </c>
      <c r="H23">
        <f t="shared" si="2"/>
        <v>0.66142439014840992</v>
      </c>
    </row>
    <row r="24" spans="4:8" x14ac:dyDescent="0.3">
      <c r="D24">
        <v>1.3999999999999</v>
      </c>
      <c r="E24">
        <f t="shared" si="1"/>
        <v>0.22746240101806292</v>
      </c>
      <c r="G24">
        <v>-0.30000000000010002</v>
      </c>
      <c r="H24">
        <f t="shared" si="2"/>
        <v>0.6788750099127363</v>
      </c>
    </row>
    <row r="25" spans="4:8" x14ac:dyDescent="0.3">
      <c r="D25">
        <v>1.5999999999998999</v>
      </c>
      <c r="E25">
        <f t="shared" si="1"/>
        <v>0.21739146237987375</v>
      </c>
      <c r="G25">
        <v>-0.20000000000010101</v>
      </c>
      <c r="H25">
        <f t="shared" si="2"/>
        <v>0.68664958416779709</v>
      </c>
    </row>
    <row r="26" spans="4:8" x14ac:dyDescent="0.3">
      <c r="D26">
        <v>1.7999999999998999</v>
      </c>
      <c r="E26">
        <f t="shared" si="1"/>
        <v>0.20888848044780725</v>
      </c>
      <c r="G26">
        <v>-0.100000000000099</v>
      </c>
      <c r="H26">
        <f t="shared" si="2"/>
        <v>0.68281583212793451</v>
      </c>
    </row>
    <row r="27" spans="4:8" x14ac:dyDescent="0.3">
      <c r="D27">
        <v>1.9999999999999001</v>
      </c>
      <c r="E27">
        <f t="shared" si="1"/>
        <v>0.20599813706842235</v>
      </c>
      <c r="G27">
        <v>0</v>
      </c>
      <c r="H27">
        <f t="shared" si="2"/>
        <v>0.66666666666666663</v>
      </c>
    </row>
    <row r="28" spans="4:8" x14ac:dyDescent="0.3">
      <c r="G28">
        <v>9.9999999999900197E-2</v>
      </c>
      <c r="H28">
        <f t="shared" si="2"/>
        <v>0.63876319779712398</v>
      </c>
    </row>
    <row r="29" spans="4:8" x14ac:dyDescent="0.3">
      <c r="G29">
        <v>0.19999999999990001</v>
      </c>
      <c r="H29">
        <f t="shared" si="2"/>
        <v>0.60081838614686667</v>
      </c>
    </row>
    <row r="30" spans="4:8" x14ac:dyDescent="0.3">
      <c r="G30">
        <v>0.29999999999989901</v>
      </c>
      <c r="H30">
        <f t="shared" si="2"/>
        <v>0.5554431899286616</v>
      </c>
    </row>
    <row r="31" spans="4:8" x14ac:dyDescent="0.3">
      <c r="G31">
        <v>0.39999999999990099</v>
      </c>
      <c r="H31">
        <f t="shared" si="2"/>
        <v>0.50579512187826237</v>
      </c>
    </row>
    <row r="32" spans="4:8" x14ac:dyDescent="0.3">
      <c r="G32">
        <v>0.49999999999990102</v>
      </c>
      <c r="H32">
        <f t="shared" si="2"/>
        <v>0.45518079953310009</v>
      </c>
    </row>
    <row r="33" spans="7:8" x14ac:dyDescent="0.3">
      <c r="G33">
        <v>0.59999999999989995</v>
      </c>
      <c r="H33">
        <f t="shared" si="2"/>
        <v>0.40666796188773574</v>
      </c>
    </row>
    <row r="34" spans="7:8" x14ac:dyDescent="0.3">
      <c r="G34">
        <v>0.69999999999990004</v>
      </c>
      <c r="H34">
        <f t="shared" si="2"/>
        <v>0.36275831861261887</v>
      </c>
    </row>
    <row r="35" spans="7:8" x14ac:dyDescent="0.3">
      <c r="G35">
        <v>0.79999999999989901</v>
      </c>
      <c r="H35">
        <f t="shared" si="2"/>
        <v>0.32516141891451117</v>
      </c>
    </row>
    <row r="36" spans="7:8" x14ac:dyDescent="0.3">
      <c r="G36">
        <v>0.89999999999990099</v>
      </c>
      <c r="H36">
        <f t="shared" si="2"/>
        <v>0.29469337195174145</v>
      </c>
    </row>
    <row r="37" spans="7:8" x14ac:dyDescent="0.3">
      <c r="G37">
        <v>0.99999999999990097</v>
      </c>
      <c r="H37">
        <f t="shared" si="2"/>
        <v>0.27130528227963918</v>
      </c>
    </row>
    <row r="38" spans="7:8" x14ac:dyDescent="0.3">
      <c r="G38">
        <v>1.0999999999998999</v>
      </c>
      <c r="H38">
        <f t="shared" si="2"/>
        <v>0.25422752015245936</v>
      </c>
    </row>
    <row r="39" spans="7:8" x14ac:dyDescent="0.3">
      <c r="G39">
        <v>1.1999999999999</v>
      </c>
      <c r="H39">
        <f t="shared" si="2"/>
        <v>0.24220012265698812</v>
      </c>
    </row>
    <row r="40" spans="7:8" x14ac:dyDescent="0.3">
      <c r="G40">
        <v>1.2999999999998999</v>
      </c>
      <c r="H40">
        <f t="shared" si="2"/>
        <v>0.23374888540188477</v>
      </c>
    </row>
    <row r="41" spans="7:8" x14ac:dyDescent="0.3">
      <c r="G41">
        <v>1.3999999999999</v>
      </c>
      <c r="H41">
        <f t="shared" si="2"/>
        <v>0.22746240101806292</v>
      </c>
    </row>
    <row r="42" spans="7:8" x14ac:dyDescent="0.3">
      <c r="G42">
        <v>1.4999999999999001</v>
      </c>
      <c r="H42">
        <f t="shared" si="2"/>
        <v>0.22222778611802116</v>
      </c>
    </row>
    <row r="43" spans="7:8" x14ac:dyDescent="0.3">
      <c r="G43">
        <v>1.5999999999998999</v>
      </c>
      <c r="H43">
        <f t="shared" si="2"/>
        <v>0.21739146237987375</v>
      </c>
    </row>
    <row r="44" spans="7:8" x14ac:dyDescent="0.3">
      <c r="G44">
        <v>1.6999999999999</v>
      </c>
      <c r="H44">
        <f t="shared" si="2"/>
        <v>0.2128245936178762</v>
      </c>
    </row>
    <row r="45" spans="7:8" x14ac:dyDescent="0.3">
      <c r="G45">
        <v>1.7999999999998999</v>
      </c>
      <c r="H45">
        <f t="shared" si="2"/>
        <v>0.20888848044780725</v>
      </c>
    </row>
    <row r="46" spans="7:8" x14ac:dyDescent="0.3">
      <c r="G46">
        <v>1.8999999999999</v>
      </c>
      <c r="H46">
        <f t="shared" si="2"/>
        <v>0.20631094374807785</v>
      </c>
    </row>
    <row r="47" spans="7:8" x14ac:dyDescent="0.3">
      <c r="G47">
        <v>1.9999999999999001</v>
      </c>
      <c r="H47">
        <f t="shared" si="2"/>
        <v>0.20599813706842235</v>
      </c>
    </row>
  </sheetData>
  <mergeCells count="3">
    <mergeCell ref="A5:B5"/>
    <mergeCell ref="D5:E5"/>
    <mergeCell ref="G5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AFDE-AC5B-4B95-A0D5-96D5D533D368}">
  <dimension ref="A1:I38"/>
  <sheetViews>
    <sheetView tabSelected="1" zoomScale="55" zoomScaleNormal="55" workbookViewId="0">
      <selection activeCell="H12" sqref="H12"/>
    </sheetView>
  </sheetViews>
  <sheetFormatPr defaultRowHeight="14.4" x14ac:dyDescent="0.3"/>
  <cols>
    <col min="1" max="1" width="18" customWidth="1"/>
    <col min="2" max="2" width="14.44140625" customWidth="1"/>
    <col min="3" max="3" width="13.88671875" bestFit="1" customWidth="1"/>
    <col min="4" max="4" width="16.109375" bestFit="1" customWidth="1"/>
    <col min="5" max="5" width="18" bestFit="1" customWidth="1"/>
    <col min="8" max="8" width="17.5546875" customWidth="1"/>
    <col min="9" max="9" width="9.6640625" customWidth="1"/>
    <col min="11" max="11" width="10.5546875" bestFit="1" customWidth="1"/>
  </cols>
  <sheetData>
    <row r="1" spans="1:9" x14ac:dyDescent="0.3">
      <c r="A1" s="44" t="s">
        <v>21</v>
      </c>
      <c r="B1" s="44"/>
      <c r="C1" s="44"/>
      <c r="D1" s="44"/>
      <c r="E1" s="20" t="s">
        <v>27</v>
      </c>
      <c r="H1" s="42" t="s">
        <v>28</v>
      </c>
      <c r="I1" s="42"/>
    </row>
    <row r="2" spans="1:9" x14ac:dyDescent="0.3">
      <c r="A2" s="44" t="s">
        <v>22</v>
      </c>
      <c r="B2" s="44"/>
      <c r="C2" s="44"/>
      <c r="D2" s="44"/>
      <c r="E2" s="21">
        <v>38736</v>
      </c>
      <c r="H2" s="20" t="s">
        <v>29</v>
      </c>
      <c r="I2" s="20">
        <v>23</v>
      </c>
    </row>
    <row r="3" spans="1:9" x14ac:dyDescent="0.3">
      <c r="A3" s="44" t="s">
        <v>23</v>
      </c>
      <c r="B3" s="44"/>
      <c r="C3" s="44"/>
      <c r="D3" s="44"/>
      <c r="E3" s="21">
        <v>45536</v>
      </c>
      <c r="H3" s="20" t="s">
        <v>30</v>
      </c>
      <c r="I3" s="20">
        <v>28</v>
      </c>
    </row>
    <row r="4" spans="1:9" x14ac:dyDescent="0.3">
      <c r="A4" s="44" t="s">
        <v>24</v>
      </c>
      <c r="B4" s="44"/>
      <c r="C4" s="44"/>
      <c r="D4" s="44"/>
      <c r="E4" s="21">
        <v>45565</v>
      </c>
      <c r="H4" s="20" t="s">
        <v>31</v>
      </c>
      <c r="I4" s="20">
        <v>33</v>
      </c>
    </row>
    <row r="5" spans="1:9" x14ac:dyDescent="0.3">
      <c r="A5" s="44" t="s">
        <v>25</v>
      </c>
      <c r="B5" s="44"/>
      <c r="C5" s="44"/>
      <c r="D5" s="44"/>
      <c r="E5" s="26">
        <f>E3-E2</f>
        <v>6800</v>
      </c>
    </row>
    <row r="6" spans="1:9" x14ac:dyDescent="0.3">
      <c r="A6" s="44" t="s">
        <v>26</v>
      </c>
      <c r="B6" s="44"/>
      <c r="C6" s="44"/>
      <c r="D6" s="44"/>
      <c r="E6" s="26">
        <f ca="1">YEAR(TODAY()) - YEAR(E2)</f>
        <v>18</v>
      </c>
    </row>
    <row r="7" spans="1:9" x14ac:dyDescent="0.3">
      <c r="C7" s="43" t="s">
        <v>34</v>
      </c>
      <c r="D7" s="43"/>
      <c r="E7" s="43"/>
    </row>
    <row r="8" spans="1:9" x14ac:dyDescent="0.3">
      <c r="A8" t="s">
        <v>32</v>
      </c>
      <c r="B8" t="s">
        <v>33</v>
      </c>
      <c r="C8" t="s">
        <v>29</v>
      </c>
      <c r="D8" t="s">
        <v>30</v>
      </c>
      <c r="E8" t="s">
        <v>31</v>
      </c>
      <c r="F8" s="43" t="s">
        <v>35</v>
      </c>
      <c r="G8" s="43"/>
      <c r="H8" s="43"/>
    </row>
    <row r="9" spans="1:9" x14ac:dyDescent="0.3">
      <c r="A9" s="19">
        <v>45536</v>
      </c>
      <c r="B9" s="27">
        <f>A9-E$2</f>
        <v>6800</v>
      </c>
      <c r="C9">
        <f>SIN(2*PI()*((B9-$E$2)/I$2))</f>
        <v>0.13616664909534149</v>
      </c>
      <c r="D9">
        <f>SIN(2*PI()*((B9-$E$2)/I$3))</f>
        <v>0.4338837391182282</v>
      </c>
      <c r="E9">
        <f>SIN(2*PI()*((B9-$E$2)/I$4))</f>
        <v>0.99886733918302784</v>
      </c>
      <c r="F9" t="str">
        <f>IF(AND($C9&gt;0,$D9&gt;0,$E9&gt;0),"+!!!",IF(AND($C9&lt;0,$D9&lt;0,$E9&lt;0),"-!!!",IF(OR(AND($C9&gt;0,$D9&gt;0),AND(C9&gt;0,E9&gt;0),AND(C9&lt;0,D9&lt;0),AND(C9&lt;0,E9&lt;0)),"*",IF(C9&gt;0,"+","-"))))</f>
        <v>+!!!</v>
      </c>
      <c r="G9" t="str">
        <f>IF(AND($C9&gt;0,$D9&gt;0,$E9&gt;0),"+!!!",IF(AND($C9&lt;0,$D9&lt;0,$E9&lt;0),"-!!!",IF(OR(AND(C9&gt;0,D9&gt;0),AND(D9&gt;0,E9&gt;0),AND(D9&lt;0,E9&lt;0),AND(D9&lt;0,C9&lt;0)),"*",IF(D9&gt;0,"+","-"))))</f>
        <v>+!!!</v>
      </c>
      <c r="H9" t="str">
        <f>IF(AND($C9&gt;0,$D9&gt;0,$E9&gt;0),"+!!!",IF(AND($C9&lt;0,$D9&lt;0,$E9&lt;0),"-!!!",IF(OR(AND(D9&gt;0,E9&gt;0),AND(E9&gt;0,C9&gt;0),AND(D9&lt;0,E9&lt;0),AND(C9&lt;0,E9&lt;0)),"*",IF(E9&gt;0,"+","-"))))</f>
        <v>+!!!</v>
      </c>
    </row>
    <row r="10" spans="1:9" x14ac:dyDescent="0.3">
      <c r="A10" s="19">
        <v>45537</v>
      </c>
      <c r="B10" s="27">
        <f t="shared" ref="B10:B38" si="0">A10-E$2</f>
        <v>6801</v>
      </c>
      <c r="C10">
        <f t="shared" ref="C10:C38" si="1">SIN(2*PI()*((B10-$E$2)/I$2))</f>
        <v>-0.13616664909631829</v>
      </c>
      <c r="D10">
        <f t="shared" ref="D10:D38" si="2">SIN(2*PI()*((B10-$E$2)/I$3))</f>
        <v>0.22252093395549644</v>
      </c>
      <c r="E10">
        <f t="shared" ref="E10:E38" si="3">SIN(2*PI()*((B10-$E$2)/I$4))</f>
        <v>0.98982144188091381</v>
      </c>
      <c r="F10" t="str">
        <f t="shared" ref="F10:F38" si="4">IF(AND($C10&gt;0,$D10&gt;0,$E10&gt;0),"+!!!",IF(AND($C10&lt;0,$D10&lt;0,$E10&lt;0),"-!!!",IF(OR(AND($C10&gt;0,$D10&gt;0),AND(C10&gt;0,E10&gt;0),AND(C10&lt;0,D10&lt;0),AND(C10&lt;0,E10&lt;0)),"*",IF(C10&gt;0,"+","-"))))</f>
        <v>-</v>
      </c>
      <c r="G10" t="str">
        <f t="shared" ref="G10:G38" si="5">IF(AND($C10&gt;0,$D10&gt;0,$E10&gt;0),"+!!!",IF(AND($C10&lt;0,$D10&lt;0,$E10&lt;0),"-!!!",IF(OR(AND(C10&gt;0,D10&gt;0),AND(D10&gt;0,E10&gt;0),AND(D10&lt;0,E10&lt;0),AND(D10&lt;0,C10&lt;0)),"*",IF(D10&gt;0,"+","-"))))</f>
        <v>*</v>
      </c>
      <c r="H10" t="str">
        <f t="shared" ref="H10:H38" si="6">IF(AND($C10&gt;0,$D10&gt;0,$E10&gt;0),"+!!!",IF(AND($C10&lt;0,$D10&lt;0,$E10&lt;0),"-!!!",IF(OR(AND(D10&gt;0,E10&gt;0),AND(E10&gt;0,C10&gt;0),AND(D10&lt;0,E10&lt;0),AND(C10&lt;0,E10&lt;0)),"*",IF(E10&gt;0,"+","-"))))</f>
        <v>*</v>
      </c>
    </row>
    <row r="11" spans="1:9" x14ac:dyDescent="0.3">
      <c r="A11" s="19">
        <v>45538</v>
      </c>
      <c r="B11" s="27">
        <f t="shared" si="0"/>
        <v>6802</v>
      </c>
      <c r="C11">
        <f t="shared" si="1"/>
        <v>-0.39840108984553624</v>
      </c>
      <c r="D11">
        <f t="shared" si="2"/>
        <v>-6.0275330733550181E-13</v>
      </c>
      <c r="E11">
        <f t="shared" si="3"/>
        <v>0.94500081871471753</v>
      </c>
      <c r="F11" t="str">
        <f t="shared" si="4"/>
        <v>*</v>
      </c>
      <c r="G11" t="str">
        <f t="shared" si="5"/>
        <v>*</v>
      </c>
      <c r="H11" t="str">
        <f t="shared" si="6"/>
        <v>+</v>
      </c>
    </row>
    <row r="12" spans="1:9" x14ac:dyDescent="0.3">
      <c r="A12" s="19">
        <v>45539</v>
      </c>
      <c r="B12" s="27">
        <f t="shared" si="0"/>
        <v>6803</v>
      </c>
      <c r="C12">
        <f t="shared" si="1"/>
        <v>-0.63108794432621484</v>
      </c>
      <c r="D12">
        <f t="shared" si="2"/>
        <v>-0.22252093395578501</v>
      </c>
      <c r="E12">
        <f t="shared" si="3"/>
        <v>0.86602540378420045</v>
      </c>
      <c r="F12" t="str">
        <f t="shared" si="4"/>
        <v>*</v>
      </c>
      <c r="G12" t="str">
        <f t="shared" si="5"/>
        <v>*</v>
      </c>
      <c r="H12" t="str">
        <f t="shared" si="6"/>
        <v>+</v>
      </c>
    </row>
    <row r="13" spans="1:9" x14ac:dyDescent="0.3">
      <c r="A13" s="19">
        <v>45540</v>
      </c>
      <c r="B13" s="27">
        <f t="shared" si="0"/>
        <v>6804</v>
      </c>
      <c r="C13">
        <f t="shared" si="1"/>
        <v>-0.81696989301112632</v>
      </c>
      <c r="D13">
        <f t="shared" si="2"/>
        <v>-0.43388373911849487</v>
      </c>
      <c r="E13">
        <f t="shared" si="3"/>
        <v>0.75574957435413181</v>
      </c>
      <c r="F13" t="str">
        <f t="shared" si="4"/>
        <v>*</v>
      </c>
      <c r="G13" t="str">
        <f t="shared" si="5"/>
        <v>*</v>
      </c>
      <c r="H13" t="str">
        <f t="shared" si="6"/>
        <v>+</v>
      </c>
    </row>
    <row r="14" spans="1:9" x14ac:dyDescent="0.3">
      <c r="A14" s="19">
        <v>45541</v>
      </c>
      <c r="B14" s="27">
        <f t="shared" si="0"/>
        <v>6805</v>
      </c>
      <c r="C14">
        <f t="shared" si="1"/>
        <v>-0.94226092211893619</v>
      </c>
      <c r="D14">
        <f t="shared" si="2"/>
        <v>-0.62348980185936165</v>
      </c>
      <c r="E14">
        <f t="shared" si="3"/>
        <v>0.61815898622067589</v>
      </c>
      <c r="F14" t="str">
        <f t="shared" si="4"/>
        <v>*</v>
      </c>
      <c r="G14" t="str">
        <f t="shared" si="5"/>
        <v>*</v>
      </c>
      <c r="H14" t="str">
        <f t="shared" si="6"/>
        <v>+</v>
      </c>
    </row>
    <row r="15" spans="1:9" x14ac:dyDescent="0.3">
      <c r="A15" s="19">
        <v>45542</v>
      </c>
      <c r="B15" s="27">
        <f t="shared" si="0"/>
        <v>6806</v>
      </c>
      <c r="C15">
        <f t="shared" si="1"/>
        <v>-0.9976687691905054</v>
      </c>
      <c r="D15">
        <f t="shared" si="2"/>
        <v>-0.78183148246781642</v>
      </c>
      <c r="E15">
        <f t="shared" si="3"/>
        <v>0.45822652172774203</v>
      </c>
      <c r="F15" t="str">
        <f t="shared" si="4"/>
        <v>*</v>
      </c>
      <c r="G15" t="str">
        <f t="shared" si="5"/>
        <v>*</v>
      </c>
      <c r="H15" t="str">
        <f t="shared" si="6"/>
        <v>+</v>
      </c>
    </row>
    <row r="16" spans="1:9" x14ac:dyDescent="0.3">
      <c r="A16" s="19">
        <v>45543</v>
      </c>
      <c r="B16" s="27">
        <f t="shared" si="0"/>
        <v>6807</v>
      </c>
      <c r="C16">
        <f t="shared" si="1"/>
        <v>-0.97908408768222477</v>
      </c>
      <c r="D16">
        <f t="shared" si="2"/>
        <v>-0.90096886790216812</v>
      </c>
      <c r="E16">
        <f t="shared" si="3"/>
        <v>0.28173255684118675</v>
      </c>
      <c r="F16" t="str">
        <f t="shared" si="4"/>
        <v>*</v>
      </c>
      <c r="G16" t="str">
        <f t="shared" si="5"/>
        <v>*</v>
      </c>
      <c r="H16" t="str">
        <f t="shared" si="6"/>
        <v>+</v>
      </c>
    </row>
    <row r="17" spans="1:8" x14ac:dyDescent="0.3">
      <c r="A17" s="19">
        <v>45544</v>
      </c>
      <c r="B17" s="27">
        <f t="shared" si="0"/>
        <v>6808</v>
      </c>
      <c r="C17">
        <f t="shared" si="1"/>
        <v>-0.88788521840254053</v>
      </c>
      <c r="D17">
        <f t="shared" si="2"/>
        <v>-0.97492791218204711</v>
      </c>
      <c r="E17">
        <f t="shared" si="3"/>
        <v>9.5056043304212454E-2</v>
      </c>
      <c r="F17" t="str">
        <f t="shared" si="4"/>
        <v>*</v>
      </c>
      <c r="G17" t="str">
        <f t="shared" si="5"/>
        <v>*</v>
      </c>
      <c r="H17" t="str">
        <f t="shared" si="6"/>
        <v>+</v>
      </c>
    </row>
    <row r="18" spans="1:8" x14ac:dyDescent="0.3">
      <c r="A18" s="19">
        <v>45545</v>
      </c>
      <c r="B18" s="27">
        <f t="shared" si="0"/>
        <v>6809</v>
      </c>
      <c r="C18">
        <f t="shared" si="1"/>
        <v>-0.73083596427770192</v>
      </c>
      <c r="D18">
        <f t="shared" si="2"/>
        <v>-1</v>
      </c>
      <c r="E18">
        <f t="shared" si="3"/>
        <v>-9.5056043304776391E-2</v>
      </c>
      <c r="F18" t="str">
        <f t="shared" si="4"/>
        <v>-!!!</v>
      </c>
      <c r="G18" t="str">
        <f t="shared" si="5"/>
        <v>-!!!</v>
      </c>
      <c r="H18" t="str">
        <f t="shared" si="6"/>
        <v>-!!!</v>
      </c>
    </row>
    <row r="19" spans="1:8" x14ac:dyDescent="0.3">
      <c r="A19" s="19">
        <v>45546</v>
      </c>
      <c r="B19" s="27">
        <f t="shared" si="0"/>
        <v>6810</v>
      </c>
      <c r="C19">
        <f t="shared" si="1"/>
        <v>-0.51958395003562385</v>
      </c>
      <c r="D19">
        <f t="shared" si="2"/>
        <v>-0.97492791218190766</v>
      </c>
      <c r="E19">
        <f t="shared" si="3"/>
        <v>-0.28173255684173026</v>
      </c>
      <c r="F19" t="str">
        <f t="shared" si="4"/>
        <v>-!!!</v>
      </c>
      <c r="G19" t="str">
        <f t="shared" si="5"/>
        <v>-!!!</v>
      </c>
      <c r="H19" t="str">
        <f t="shared" si="6"/>
        <v>-!!!</v>
      </c>
    </row>
    <row r="20" spans="1:8" x14ac:dyDescent="0.3">
      <c r="A20" s="19">
        <v>45547</v>
      </c>
      <c r="B20" s="27">
        <f t="shared" si="0"/>
        <v>6811</v>
      </c>
      <c r="C20">
        <f t="shared" si="1"/>
        <v>-0.26979677115629724</v>
      </c>
      <c r="D20">
        <f t="shared" si="2"/>
        <v>-0.90096886790189634</v>
      </c>
      <c r="E20">
        <f t="shared" si="3"/>
        <v>-0.45822652172824557</v>
      </c>
      <c r="F20" t="str">
        <f t="shared" si="4"/>
        <v>-!!!</v>
      </c>
      <c r="G20" t="str">
        <f t="shared" si="5"/>
        <v>-!!!</v>
      </c>
      <c r="H20" t="str">
        <f t="shared" si="6"/>
        <v>-!!!</v>
      </c>
    </row>
    <row r="21" spans="1:8" x14ac:dyDescent="0.3">
      <c r="A21" s="19">
        <v>45548</v>
      </c>
      <c r="B21" s="27">
        <f t="shared" si="0"/>
        <v>6812</v>
      </c>
      <c r="C21">
        <f t="shared" si="1"/>
        <v>-8.6224430373427197E-14</v>
      </c>
      <c r="D21">
        <f t="shared" si="2"/>
        <v>-0.78183148246799294</v>
      </c>
      <c r="E21">
        <f t="shared" si="3"/>
        <v>-0.6181589862211212</v>
      </c>
      <c r="F21" t="str">
        <f t="shared" si="4"/>
        <v>-!!!</v>
      </c>
      <c r="G21" t="str">
        <f t="shared" si="5"/>
        <v>-!!!</v>
      </c>
      <c r="H21" t="str">
        <f t="shared" si="6"/>
        <v>-!!!</v>
      </c>
    </row>
    <row r="22" spans="1:8" x14ac:dyDescent="0.3">
      <c r="A22" s="19">
        <v>45549</v>
      </c>
      <c r="B22" s="27">
        <f t="shared" si="0"/>
        <v>6813</v>
      </c>
      <c r="C22">
        <f t="shared" si="1"/>
        <v>0.26979677115613121</v>
      </c>
      <c r="D22">
        <f t="shared" si="2"/>
        <v>-0.62348980185887204</v>
      </c>
      <c r="E22">
        <f t="shared" si="3"/>
        <v>-0.75574957435450274</v>
      </c>
      <c r="F22" t="str">
        <f t="shared" si="4"/>
        <v>+</v>
      </c>
      <c r="G22" t="str">
        <f t="shared" si="5"/>
        <v>*</v>
      </c>
      <c r="H22" t="str">
        <f t="shared" si="6"/>
        <v>*</v>
      </c>
    </row>
    <row r="23" spans="1:8" x14ac:dyDescent="0.3">
      <c r="A23" s="19">
        <v>45550</v>
      </c>
      <c r="B23" s="27">
        <f t="shared" si="0"/>
        <v>6814</v>
      </c>
      <c r="C23">
        <f t="shared" si="1"/>
        <v>0.51958395003703073</v>
      </c>
      <c r="D23">
        <f t="shared" si="2"/>
        <v>-0.4338837391179306</v>
      </c>
      <c r="E23">
        <f t="shared" si="3"/>
        <v>-0.86602540378448378</v>
      </c>
      <c r="F23" t="str">
        <f t="shared" si="4"/>
        <v>+</v>
      </c>
      <c r="G23" t="str">
        <f t="shared" si="5"/>
        <v>*</v>
      </c>
      <c r="H23" t="str">
        <f t="shared" si="6"/>
        <v>*</v>
      </c>
    </row>
    <row r="24" spans="1:8" x14ac:dyDescent="0.3">
      <c r="A24" s="19">
        <v>45551</v>
      </c>
      <c r="B24" s="27">
        <f t="shared" si="0"/>
        <v>6815</v>
      </c>
      <c r="C24">
        <f t="shared" si="1"/>
        <v>0.7308359642788258</v>
      </c>
      <c r="D24">
        <f t="shared" si="2"/>
        <v>-0.22252093395606112</v>
      </c>
      <c r="E24">
        <f t="shared" si="3"/>
        <v>-0.94500081871490282</v>
      </c>
      <c r="F24" t="str">
        <f t="shared" si="4"/>
        <v>+</v>
      </c>
      <c r="G24" t="str">
        <f t="shared" si="5"/>
        <v>*</v>
      </c>
      <c r="H24" t="str">
        <f t="shared" si="6"/>
        <v>*</v>
      </c>
    </row>
    <row r="25" spans="1:8" x14ac:dyDescent="0.3">
      <c r="A25" s="19">
        <v>45552</v>
      </c>
      <c r="B25" s="27">
        <f t="shared" si="0"/>
        <v>6816</v>
      </c>
      <c r="C25">
        <f t="shared" si="1"/>
        <v>0.88788521840246115</v>
      </c>
      <c r="D25">
        <f t="shared" si="2"/>
        <v>2.3538462845529295E-14</v>
      </c>
      <c r="E25">
        <f t="shared" si="3"/>
        <v>-0.98982144188099441</v>
      </c>
      <c r="F25" t="str">
        <f t="shared" si="4"/>
        <v>*</v>
      </c>
      <c r="G25" t="str">
        <f t="shared" si="5"/>
        <v>*</v>
      </c>
      <c r="H25" t="str">
        <f t="shared" si="6"/>
        <v>-</v>
      </c>
    </row>
    <row r="26" spans="1:8" x14ac:dyDescent="0.3">
      <c r="A26" s="19">
        <v>45553</v>
      </c>
      <c r="B26" s="27">
        <f t="shared" si="0"/>
        <v>6817</v>
      </c>
      <c r="C26">
        <f t="shared" si="1"/>
        <v>0.97908408768218969</v>
      </c>
      <c r="D26">
        <f t="shared" si="2"/>
        <v>0.222520933956107</v>
      </c>
      <c r="E26">
        <f t="shared" si="3"/>
        <v>-0.99886733918300086</v>
      </c>
      <c r="F26" t="str">
        <f t="shared" si="4"/>
        <v>*</v>
      </c>
      <c r="G26" t="str">
        <f t="shared" si="5"/>
        <v>*</v>
      </c>
      <c r="H26" t="str">
        <f t="shared" si="6"/>
        <v>-</v>
      </c>
    </row>
    <row r="27" spans="1:8" x14ac:dyDescent="0.3">
      <c r="A27" s="19">
        <v>45554</v>
      </c>
      <c r="B27" s="27">
        <f t="shared" si="0"/>
        <v>6818</v>
      </c>
      <c r="C27">
        <f t="shared" si="1"/>
        <v>0.99766876919051717</v>
      </c>
      <c r="D27">
        <f t="shared" si="2"/>
        <v>0.43388373911797301</v>
      </c>
      <c r="E27">
        <f t="shared" si="3"/>
        <v>-0.97181156832357307</v>
      </c>
      <c r="F27" t="str">
        <f t="shared" si="4"/>
        <v>*</v>
      </c>
      <c r="G27" t="str">
        <f t="shared" si="5"/>
        <v>*</v>
      </c>
      <c r="H27" t="str">
        <f t="shared" si="6"/>
        <v>-</v>
      </c>
    </row>
    <row r="28" spans="1:8" x14ac:dyDescent="0.3">
      <c r="A28" s="19">
        <v>45555</v>
      </c>
      <c r="B28" s="27">
        <f t="shared" si="0"/>
        <v>6819</v>
      </c>
      <c r="C28">
        <f t="shared" si="1"/>
        <v>0.94226092211838475</v>
      </c>
      <c r="D28">
        <f t="shared" si="2"/>
        <v>0.6234898018589089</v>
      </c>
      <c r="E28">
        <f t="shared" si="3"/>
        <v>-0.90963199535431338</v>
      </c>
      <c r="F28" t="str">
        <f t="shared" si="4"/>
        <v>*</v>
      </c>
      <c r="G28" t="str">
        <f t="shared" si="5"/>
        <v>*</v>
      </c>
      <c r="H28" t="str">
        <f t="shared" si="6"/>
        <v>-</v>
      </c>
    </row>
    <row r="29" spans="1:8" x14ac:dyDescent="0.3">
      <c r="A29" s="19">
        <v>45556</v>
      </c>
      <c r="B29" s="27">
        <f t="shared" si="0"/>
        <v>6820</v>
      </c>
      <c r="C29">
        <f t="shared" si="1"/>
        <v>0.81696989301017686</v>
      </c>
      <c r="D29">
        <f t="shared" si="2"/>
        <v>0.78183148246802237</v>
      </c>
      <c r="E29">
        <f t="shared" si="3"/>
        <v>-0.81457595205021371</v>
      </c>
      <c r="F29" t="str">
        <f t="shared" si="4"/>
        <v>*</v>
      </c>
      <c r="G29" t="str">
        <f t="shared" si="5"/>
        <v>*</v>
      </c>
      <c r="H29" t="str">
        <f t="shared" si="6"/>
        <v>-</v>
      </c>
    </row>
    <row r="30" spans="1:8" x14ac:dyDescent="0.3">
      <c r="A30" s="19">
        <v>45557</v>
      </c>
      <c r="B30" s="27">
        <f t="shared" si="0"/>
        <v>6821</v>
      </c>
      <c r="C30">
        <f t="shared" si="1"/>
        <v>0.63108794432634863</v>
      </c>
      <c r="D30">
        <f t="shared" si="2"/>
        <v>0.90096886790231134</v>
      </c>
      <c r="E30">
        <f t="shared" si="3"/>
        <v>-0.69007901148216477</v>
      </c>
      <c r="F30" t="str">
        <f t="shared" si="4"/>
        <v>*</v>
      </c>
      <c r="G30" t="str">
        <f t="shared" si="5"/>
        <v>*</v>
      </c>
      <c r="H30" t="str">
        <f t="shared" si="6"/>
        <v>-</v>
      </c>
    </row>
    <row r="31" spans="1:8" x14ac:dyDescent="0.3">
      <c r="A31" s="19">
        <v>45558</v>
      </c>
      <c r="B31" s="27">
        <f t="shared" si="0"/>
        <v>6822</v>
      </c>
      <c r="C31">
        <f t="shared" si="1"/>
        <v>0.39840108984569444</v>
      </c>
      <c r="D31">
        <f t="shared" si="2"/>
        <v>0.97492791218191821</v>
      </c>
      <c r="E31">
        <f t="shared" si="3"/>
        <v>-0.54064081745589709</v>
      </c>
      <c r="F31" t="str">
        <f t="shared" si="4"/>
        <v>*</v>
      </c>
      <c r="G31" t="str">
        <f t="shared" si="5"/>
        <v>*</v>
      </c>
      <c r="H31" t="str">
        <f t="shared" si="6"/>
        <v>-</v>
      </c>
    </row>
    <row r="32" spans="1:8" x14ac:dyDescent="0.3">
      <c r="A32" s="19">
        <v>45559</v>
      </c>
      <c r="B32" s="27">
        <f t="shared" si="0"/>
        <v>6823</v>
      </c>
      <c r="C32">
        <f t="shared" si="1"/>
        <v>0.13616664909648912</v>
      </c>
      <c r="D32">
        <f t="shared" si="2"/>
        <v>1</v>
      </c>
      <c r="E32">
        <f t="shared" si="3"/>
        <v>-0.37166245566007655</v>
      </c>
      <c r="F32" t="str">
        <f t="shared" si="4"/>
        <v>*</v>
      </c>
      <c r="G32" t="str">
        <f t="shared" si="5"/>
        <v>*</v>
      </c>
      <c r="H32" t="str">
        <f t="shared" si="6"/>
        <v>-</v>
      </c>
    </row>
    <row r="33" spans="1:8" x14ac:dyDescent="0.3">
      <c r="A33" s="19">
        <v>45560</v>
      </c>
      <c r="B33" s="27">
        <f t="shared" si="0"/>
        <v>6824</v>
      </c>
      <c r="C33">
        <f t="shared" si="1"/>
        <v>-0.13616664909697271</v>
      </c>
      <c r="D33">
        <f t="shared" si="2"/>
        <v>0.97492791218183417</v>
      </c>
      <c r="E33">
        <f t="shared" si="3"/>
        <v>-0.18925124436042279</v>
      </c>
      <c r="F33" t="str">
        <f t="shared" si="4"/>
        <v>*</v>
      </c>
      <c r="G33" t="str">
        <f t="shared" si="5"/>
        <v>+</v>
      </c>
      <c r="H33" t="str">
        <f t="shared" si="6"/>
        <v>*</v>
      </c>
    </row>
    <row r="34" spans="1:8" x14ac:dyDescent="0.3">
      <c r="A34" s="19">
        <v>45561</v>
      </c>
      <c r="B34" s="27">
        <f t="shared" si="0"/>
        <v>6825</v>
      </c>
      <c r="C34">
        <f t="shared" si="1"/>
        <v>-0.39840108984614214</v>
      </c>
      <c r="D34">
        <f t="shared" si="2"/>
        <v>0.9009688679021477</v>
      </c>
      <c r="E34">
        <f t="shared" si="3"/>
        <v>6.1353136113218021E-13</v>
      </c>
      <c r="F34" t="str">
        <f t="shared" si="4"/>
        <v>-</v>
      </c>
      <c r="G34" t="str">
        <f t="shared" si="5"/>
        <v>*</v>
      </c>
      <c r="H34" t="str">
        <f t="shared" si="6"/>
        <v>*</v>
      </c>
    </row>
    <row r="35" spans="1:8" x14ac:dyDescent="0.3">
      <c r="A35" s="19">
        <v>45562</v>
      </c>
      <c r="B35" s="27">
        <f t="shared" si="0"/>
        <v>6826</v>
      </c>
      <c r="C35">
        <f t="shared" si="1"/>
        <v>-0.63108794432672721</v>
      </c>
      <c r="D35">
        <f t="shared" si="2"/>
        <v>0.781831482467787</v>
      </c>
      <c r="E35">
        <f t="shared" si="3"/>
        <v>0.18925124436073462</v>
      </c>
      <c r="F35" t="str">
        <f t="shared" si="4"/>
        <v>-</v>
      </c>
      <c r="G35" t="str">
        <f t="shared" si="5"/>
        <v>*</v>
      </c>
      <c r="H35" t="str">
        <f t="shared" si="6"/>
        <v>*</v>
      </c>
    </row>
    <row r="36" spans="1:8" x14ac:dyDescent="0.3">
      <c r="A36" s="19">
        <v>45563</v>
      </c>
      <c r="B36" s="27">
        <f t="shared" si="0"/>
        <v>6827</v>
      </c>
      <c r="C36">
        <f t="shared" si="1"/>
        <v>-0.8169698930104583</v>
      </c>
      <c r="D36">
        <f t="shared" si="2"/>
        <v>0.6234898018586138</v>
      </c>
      <c r="E36">
        <f t="shared" si="3"/>
        <v>0.37166245566037137</v>
      </c>
      <c r="F36" t="str">
        <f t="shared" si="4"/>
        <v>-</v>
      </c>
      <c r="G36" t="str">
        <f t="shared" si="5"/>
        <v>*</v>
      </c>
      <c r="H36" t="str">
        <f t="shared" si="6"/>
        <v>*</v>
      </c>
    </row>
    <row r="37" spans="1:8" x14ac:dyDescent="0.3">
      <c r="A37" s="19">
        <v>45564</v>
      </c>
      <c r="B37" s="27">
        <f t="shared" si="0"/>
        <v>6828</v>
      </c>
      <c r="C37">
        <f t="shared" si="1"/>
        <v>-0.94226092211854828</v>
      </c>
      <c r="D37">
        <f t="shared" si="2"/>
        <v>0.43388373911763306</v>
      </c>
      <c r="E37">
        <f t="shared" si="3"/>
        <v>0.54064081745616421</v>
      </c>
      <c r="F37" t="str">
        <f t="shared" si="4"/>
        <v>-</v>
      </c>
      <c r="G37" t="str">
        <f t="shared" si="5"/>
        <v>*</v>
      </c>
      <c r="H37" t="str">
        <f t="shared" si="6"/>
        <v>*</v>
      </c>
    </row>
    <row r="38" spans="1:8" x14ac:dyDescent="0.3">
      <c r="A38" s="19">
        <v>45565</v>
      </c>
      <c r="B38" s="27">
        <f t="shared" si="0"/>
        <v>6829</v>
      </c>
      <c r="C38">
        <f t="shared" si="1"/>
        <v>-0.99766876919055048</v>
      </c>
      <c r="D38">
        <f t="shared" si="2"/>
        <v>0.2225209339557391</v>
      </c>
      <c r="E38">
        <f t="shared" si="3"/>
        <v>0.69007901148239459</v>
      </c>
      <c r="F38" t="str">
        <f t="shared" si="4"/>
        <v>-</v>
      </c>
      <c r="G38" t="str">
        <f t="shared" si="5"/>
        <v>*</v>
      </c>
      <c r="H38" t="str">
        <f t="shared" si="6"/>
        <v>*</v>
      </c>
    </row>
  </sheetData>
  <mergeCells count="9">
    <mergeCell ref="H1:I1"/>
    <mergeCell ref="C7:E7"/>
    <mergeCell ref="F8:H8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5624-1719-47FF-9D18-99ABD86F07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Вар20</vt:lpstr>
      <vt:lpstr>Лаб2</vt:lpstr>
      <vt:lpstr>Графики</vt:lpstr>
      <vt:lpstr>Параметры</vt:lpstr>
      <vt:lpstr>2лаб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kitty swirth</dc:creator>
  <cp:lastModifiedBy>kitty swirth</cp:lastModifiedBy>
  <dcterms:created xsi:type="dcterms:W3CDTF">2024-10-05T15:09:18Z</dcterms:created>
  <dcterms:modified xsi:type="dcterms:W3CDTF">2024-12-07T06:34:07Z</dcterms:modified>
</cp:coreProperties>
</file>