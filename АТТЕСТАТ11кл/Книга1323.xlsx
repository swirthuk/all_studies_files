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F5CC7E-AF48-40C3-83A5-5F4274F883DE}" xr6:coauthVersionLast="47" xr6:coauthVersionMax="47" xr10:uidLastSave="{00000000-0000-0000-0000-000000000000}"/>
  <bookViews>
    <workbookView xWindow="-108" yWindow="-108" windowWidth="23256" windowHeight="12576" xr2:uid="{F439929A-3EA7-42DB-89C8-47012139740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D15" i="1"/>
  <c r="F6" i="1"/>
  <c r="F7" i="1"/>
  <c r="F8" i="1"/>
  <c r="F9" i="1"/>
  <c r="F10" i="1"/>
  <c r="F11" i="1"/>
  <c r="F12" i="1"/>
  <c r="F13" i="1"/>
  <c r="F14" i="1"/>
  <c r="F5" i="1"/>
  <c r="F15" i="1" s="1"/>
  <c r="E15" i="1"/>
  <c r="F8" i="2"/>
  <c r="G6" i="1" s="1"/>
  <c r="F9" i="2"/>
  <c r="G7" i="1" s="1"/>
  <c r="F10" i="2"/>
  <c r="G8" i="1" s="1"/>
  <c r="F11" i="2"/>
  <c r="G9" i="1" s="1"/>
  <c r="F12" i="2"/>
  <c r="G10" i="1" s="1"/>
  <c r="F13" i="2"/>
  <c r="G11" i="1" s="1"/>
  <c r="F14" i="2"/>
  <c r="G12" i="1" s="1"/>
  <c r="F15" i="2"/>
  <c r="G13" i="1" s="1"/>
  <c r="F16" i="2"/>
  <c r="G14" i="1" s="1"/>
  <c r="F7" i="2"/>
  <c r="G5" i="1" s="1"/>
  <c r="H10" i="1" l="1"/>
  <c r="H5" i="1"/>
  <c r="H7" i="1"/>
  <c r="H13" i="1"/>
  <c r="H11" i="1"/>
  <c r="H12" i="1"/>
  <c r="H6" i="1"/>
  <c r="H14" i="1"/>
  <c r="H8" i="1"/>
  <c r="H9" i="1"/>
  <c r="H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5" authorId="0" shapeId="0" xr:uid="{48AF3B3E-51CB-4257-A6DC-23542F15A3C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Балансовая стоимость</t>
        </r>
      </text>
    </comment>
    <comment ref="E15" authorId="0" shapeId="0" xr:uid="{C54FC44D-6443-4912-AA52-3A833BFCAD4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Износ</t>
        </r>
      </text>
    </comment>
    <comment ref="F15" authorId="0" shapeId="0" xr:uid="{EB2C82ED-5E58-4005-8E54-1AD318F9618B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Остаточная стоимость</t>
        </r>
      </text>
    </comment>
    <comment ref="G15" authorId="0" shapeId="0" xr:uid="{D998E982-E74A-4A1C-B983-1A640E35B7F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Восстановительная полная стоимость</t>
        </r>
      </text>
    </comment>
    <comment ref="H15" authorId="0" shapeId="0" xr:uid="{ABEA1E18-8D59-4D91-B04D-39C429B0C076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Восстановительная остаточная стоимость</t>
        </r>
      </text>
    </comment>
  </commentList>
</comments>
</file>

<file path=xl/sharedStrings.xml><?xml version="1.0" encoding="utf-8"?>
<sst xmlns="http://schemas.openxmlformats.org/spreadsheetml/2006/main" count="29" uniqueCount="18">
  <si>
    <t>Наименование объекта</t>
  </si>
  <si>
    <t>Балансовая стоимость</t>
  </si>
  <si>
    <t>Износ</t>
  </si>
  <si>
    <t>Остаточная стоимость</t>
  </si>
  <si>
    <t>Восстановительная полная стоимость</t>
  </si>
  <si>
    <t>Заводоуправление</t>
  </si>
  <si>
    <t>Диспетчерская</t>
  </si>
  <si>
    <t>Цех №1</t>
  </si>
  <si>
    <t>Цех №2</t>
  </si>
  <si>
    <t>Цех №3</t>
  </si>
  <si>
    <t>Цех №4</t>
  </si>
  <si>
    <t>Склад №1</t>
  </si>
  <si>
    <t>Склад №2</t>
  </si>
  <si>
    <t>Склад №3</t>
  </si>
  <si>
    <t>Склад №4</t>
  </si>
  <si>
    <t>Итого</t>
  </si>
  <si>
    <t>K</t>
  </si>
  <si>
    <t>Восстановительная остаточная 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</si>
</sst>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72BC-C835-4807-8DC8-E9D44FF0C48B}">
  <dimension ref="C4:H15"/>
  <sheetViews>
    <sheetView tabSelected="1" zoomScale="85" zoomScaleNormal="85" workbookViewId="0">
      <selection activeCell="I14" sqref="I13:I14"/>
    </sheetView>
  </sheetViews>
  <sheetFormatPr defaultRowHeight="14.4" x14ac:dyDescent="0.3"/>
  <cols>
    <col min="2" max="2" width="8.44140625" customWidth="1"/>
    <col min="3" max="3" width="27.77734375" customWidth="1"/>
    <col min="4" max="4" width="16.5546875" customWidth="1"/>
    <col min="5" max="5" width="27.88671875" customWidth="1"/>
    <col min="6" max="6" width="18.109375" customWidth="1"/>
    <col min="7" max="7" width="23.6640625" customWidth="1"/>
    <col min="8" max="8" width="26.5546875" customWidth="1"/>
    <col min="9" max="9" width="27.5546875" customWidth="1"/>
    <col min="10" max="10" width="30.77734375" customWidth="1"/>
  </cols>
  <sheetData>
    <row r="4" spans="3:8" ht="108" x14ac:dyDescent="0.3">
      <c r="C4" s="3" t="s">
        <v>0</v>
      </c>
      <c r="D4" s="7" t="s">
        <v>1</v>
      </c>
      <c r="E4" s="3" t="s">
        <v>2</v>
      </c>
      <c r="F4" s="7" t="s">
        <v>3</v>
      </c>
      <c r="G4" s="7" t="s">
        <v>4</v>
      </c>
      <c r="H4" s="7" t="s">
        <v>17</v>
      </c>
    </row>
    <row r="5" spans="3:8" s="1" customFormat="1" ht="45" customHeight="1" x14ac:dyDescent="0.3">
      <c r="C5" s="4" t="s">
        <v>5</v>
      </c>
      <c r="D5" s="5">
        <v>12556.4</v>
      </c>
      <c r="E5" s="5">
        <v>589.29999999999995</v>
      </c>
      <c r="F5" s="5">
        <f>D5-E5</f>
        <v>11967.1</v>
      </c>
      <c r="G5" s="5">
        <f>D5*Лист2!F7</f>
        <v>37669.199999999997</v>
      </c>
      <c r="H5" s="5">
        <f>F5*Лист2!F7</f>
        <v>35901.300000000003</v>
      </c>
    </row>
    <row r="6" spans="3:8" ht="18" x14ac:dyDescent="0.3">
      <c r="C6" s="4" t="s">
        <v>6</v>
      </c>
      <c r="D6" s="5">
        <v>184</v>
      </c>
      <c r="E6" s="5">
        <v>51.2</v>
      </c>
      <c r="F6" s="5">
        <f t="shared" ref="F6:F14" si="0">D6-E6</f>
        <v>132.80000000000001</v>
      </c>
      <c r="G6" s="5">
        <f>D6*Лист2!F8</f>
        <v>368</v>
      </c>
      <c r="H6" s="5">
        <f>F6*Лист2!F8</f>
        <v>265.60000000000002</v>
      </c>
    </row>
    <row r="7" spans="3:8" ht="18" x14ac:dyDescent="0.3">
      <c r="C7" s="4" t="s">
        <v>7</v>
      </c>
      <c r="D7" s="5">
        <v>954.4</v>
      </c>
      <c r="E7" s="5">
        <v>235.1</v>
      </c>
      <c r="F7" s="5">
        <f t="shared" si="0"/>
        <v>719.3</v>
      </c>
      <c r="G7" s="5">
        <f>D7*Лист2!F9</f>
        <v>2863.2</v>
      </c>
      <c r="H7" s="5">
        <f>F7*Лист2!F9</f>
        <v>2157.8999999999996</v>
      </c>
    </row>
    <row r="8" spans="3:8" ht="18" x14ac:dyDescent="0.3">
      <c r="C8" s="4" t="s">
        <v>8</v>
      </c>
      <c r="D8" s="5">
        <v>821.9</v>
      </c>
      <c r="E8" s="5">
        <v>218.9</v>
      </c>
      <c r="F8" s="5">
        <f t="shared" si="0"/>
        <v>603</v>
      </c>
      <c r="G8" s="5">
        <f>D8*Лист2!F10</f>
        <v>2465.6999999999998</v>
      </c>
      <c r="H8" s="5">
        <f>F8*Лист2!F10</f>
        <v>1809</v>
      </c>
    </row>
    <row r="9" spans="3:8" ht="18" x14ac:dyDescent="0.3">
      <c r="C9" s="4" t="s">
        <v>9</v>
      </c>
      <c r="D9" s="5">
        <v>529.6</v>
      </c>
      <c r="E9" s="5">
        <v>124.7</v>
      </c>
      <c r="F9" s="5">
        <f t="shared" si="0"/>
        <v>404.90000000000003</v>
      </c>
      <c r="G9" s="5">
        <f>D9*Лист2!F11</f>
        <v>1588.8000000000002</v>
      </c>
      <c r="H9" s="5">
        <f>F9*Лист2!F11</f>
        <v>1214.7</v>
      </c>
    </row>
    <row r="10" spans="3:8" ht="18" x14ac:dyDescent="0.3">
      <c r="C10" s="4" t="s">
        <v>10</v>
      </c>
      <c r="D10" s="5">
        <v>758.4</v>
      </c>
      <c r="E10" s="5">
        <v>171.1</v>
      </c>
      <c r="F10" s="5">
        <f t="shared" si="0"/>
        <v>587.29999999999995</v>
      </c>
      <c r="G10" s="5">
        <f>D10*Лист2!F12</f>
        <v>2275.1999999999998</v>
      </c>
      <c r="H10" s="5">
        <f>F10*Лист2!F12</f>
        <v>1761.8999999999999</v>
      </c>
    </row>
    <row r="11" spans="3:8" ht="18" x14ac:dyDescent="0.3">
      <c r="C11" s="4" t="s">
        <v>11</v>
      </c>
      <c r="D11" s="5">
        <v>580.20000000000005</v>
      </c>
      <c r="E11" s="5">
        <v>223.3</v>
      </c>
      <c r="F11" s="5">
        <f t="shared" si="0"/>
        <v>356.90000000000003</v>
      </c>
      <c r="G11" s="5">
        <f>D11*Лист2!F13</f>
        <v>1740.6000000000001</v>
      </c>
      <c r="H11" s="5">
        <f>F11*Лист2!F13</f>
        <v>1070.7</v>
      </c>
    </row>
    <row r="12" spans="3:8" ht="18" x14ac:dyDescent="0.3">
      <c r="C12" s="4" t="s">
        <v>12</v>
      </c>
      <c r="D12" s="5">
        <v>443.9</v>
      </c>
      <c r="E12" s="5">
        <v>98.6</v>
      </c>
      <c r="F12" s="5">
        <f t="shared" si="0"/>
        <v>345.29999999999995</v>
      </c>
      <c r="G12" s="5">
        <f>D12*Лист2!F14</f>
        <v>887.8</v>
      </c>
      <c r="H12" s="5">
        <f>F12*Лист2!F14</f>
        <v>690.59999999999991</v>
      </c>
    </row>
    <row r="13" spans="3:8" ht="18" x14ac:dyDescent="0.3">
      <c r="C13" s="4" t="s">
        <v>13</v>
      </c>
      <c r="D13" s="5">
        <v>579</v>
      </c>
      <c r="E13" s="5">
        <v>123.4</v>
      </c>
      <c r="F13" s="5">
        <f t="shared" si="0"/>
        <v>455.6</v>
      </c>
      <c r="G13" s="5">
        <f>D13*Лист2!F15</f>
        <v>1737</v>
      </c>
      <c r="H13" s="5">
        <f>F13*Лист2!F15</f>
        <v>1366.8000000000002</v>
      </c>
    </row>
    <row r="14" spans="3:8" ht="18" x14ac:dyDescent="0.3">
      <c r="C14" s="4" t="s">
        <v>14</v>
      </c>
      <c r="D14" s="5">
        <v>322.8</v>
      </c>
      <c r="E14" s="5">
        <v>69.8</v>
      </c>
      <c r="F14" s="5">
        <f t="shared" si="0"/>
        <v>253</v>
      </c>
      <c r="G14" s="5">
        <f>D14*Лист2!F16</f>
        <v>645.6</v>
      </c>
      <c r="H14" s="5">
        <f>F14*Лист2!F16</f>
        <v>506</v>
      </c>
    </row>
    <row r="15" spans="3:8" ht="18" x14ac:dyDescent="0.3">
      <c r="C15" s="4" t="s">
        <v>15</v>
      </c>
      <c r="D15" s="6">
        <f>SUM(D5:D14)</f>
        <v>17730.599999999999</v>
      </c>
      <c r="E15" s="6">
        <f>SUM(E5:E14)</f>
        <v>1905.3999999999999</v>
      </c>
      <c r="F15" s="6">
        <f>SUM(F5:F14)</f>
        <v>15825.199999999997</v>
      </c>
      <c r="G15" s="6">
        <f>SUM(G5:G14)</f>
        <v>52241.099999999991</v>
      </c>
      <c r="H15" s="6">
        <f>SUM(H5:H14)</f>
        <v>46744.5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B246-925A-48CA-A66D-5E00AF18149E}">
  <dimension ref="E6:G17"/>
  <sheetViews>
    <sheetView topLeftCell="A4" zoomScale="85" zoomScaleNormal="85" workbookViewId="0">
      <selection activeCell="E31" sqref="E31"/>
    </sheetView>
  </sheetViews>
  <sheetFormatPr defaultRowHeight="14.4" x14ac:dyDescent="0.3"/>
  <cols>
    <col min="5" max="5" width="30.88671875" customWidth="1"/>
    <col min="6" max="6" width="14" customWidth="1"/>
  </cols>
  <sheetData>
    <row r="6" spans="5:7" ht="18" x14ac:dyDescent="0.3">
      <c r="E6" s="4" t="s">
        <v>0</v>
      </c>
      <c r="F6" s="4" t="s">
        <v>16</v>
      </c>
      <c r="G6" s="2"/>
    </row>
    <row r="7" spans="5:7" ht="18" x14ac:dyDescent="0.3">
      <c r="E7" s="4" t="s">
        <v>5</v>
      </c>
      <c r="F7" s="5">
        <f>IF(Лист1!D5&gt;500,3,2)</f>
        <v>3</v>
      </c>
    </row>
    <row r="8" spans="5:7" ht="18" x14ac:dyDescent="0.3">
      <c r="E8" s="4" t="s">
        <v>6</v>
      </c>
      <c r="F8" s="5">
        <f>IF(Лист1!D6&gt;500,3,2)</f>
        <v>2</v>
      </c>
    </row>
    <row r="9" spans="5:7" ht="18" x14ac:dyDescent="0.3">
      <c r="E9" s="4" t="s">
        <v>7</v>
      </c>
      <c r="F9" s="5">
        <f>IF(Лист1!D7&gt;500,3,2)</f>
        <v>3</v>
      </c>
    </row>
    <row r="10" spans="5:7" ht="18" x14ac:dyDescent="0.3">
      <c r="E10" s="4" t="s">
        <v>8</v>
      </c>
      <c r="F10" s="5">
        <f>IF(Лист1!D8&gt;500,3,2)</f>
        <v>3</v>
      </c>
    </row>
    <row r="11" spans="5:7" ht="18" x14ac:dyDescent="0.3">
      <c r="E11" s="4" t="s">
        <v>9</v>
      </c>
      <c r="F11" s="5">
        <f>IF(Лист1!D9&gt;500,3,2)</f>
        <v>3</v>
      </c>
    </row>
    <row r="12" spans="5:7" ht="18" x14ac:dyDescent="0.3">
      <c r="E12" s="4" t="s">
        <v>10</v>
      </c>
      <c r="F12" s="5">
        <f>IF(Лист1!D10&gt;500,3,2)</f>
        <v>3</v>
      </c>
    </row>
    <row r="13" spans="5:7" ht="18" x14ac:dyDescent="0.3">
      <c r="E13" s="4" t="s">
        <v>11</v>
      </c>
      <c r="F13" s="5">
        <f>IF(Лист1!D11&gt;500,3,2)</f>
        <v>3</v>
      </c>
    </row>
    <row r="14" spans="5:7" ht="18" x14ac:dyDescent="0.3">
      <c r="E14" s="4" t="s">
        <v>12</v>
      </c>
      <c r="F14" s="5">
        <f>IF(Лист1!D12&gt;500,3,2)</f>
        <v>2</v>
      </c>
    </row>
    <row r="15" spans="5:7" ht="18" x14ac:dyDescent="0.3">
      <c r="E15" s="4" t="s">
        <v>13</v>
      </c>
      <c r="F15" s="5">
        <f>IF(Лист1!D13&gt;500,3,2)</f>
        <v>3</v>
      </c>
    </row>
    <row r="16" spans="5:7" ht="18" x14ac:dyDescent="0.3">
      <c r="E16" s="9" t="s">
        <v>14</v>
      </c>
      <c r="F16" s="10">
        <f>IF(Лист1!D14&gt;500,3,2)</f>
        <v>2</v>
      </c>
    </row>
    <row r="17" spans="5:6" ht="18" x14ac:dyDescent="0.3">
      <c r="E17" s="8"/>
      <c r="F1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feef ewfew</cp:lastModifiedBy>
  <dcterms:created xsi:type="dcterms:W3CDTF">2024-11-26T10:06:46Z</dcterms:created>
  <dcterms:modified xsi:type="dcterms:W3CDTF">2024-12-10T04:51:21Z</dcterms:modified>
</cp:coreProperties>
</file>