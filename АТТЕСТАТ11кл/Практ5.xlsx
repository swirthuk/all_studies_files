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C955C9E-ED5A-45B7-AE0D-2D6345D9D58A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Исходная" sheetId="1" r:id="rId1"/>
    <sheet name="Задание 2" sheetId="2" r:id="rId2"/>
    <sheet name="Задание 3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3" l="1"/>
  <c r="C21" i="3"/>
  <c r="D19" i="3"/>
  <c r="C19" i="3"/>
  <c r="D17" i="3"/>
  <c r="C17" i="3"/>
  <c r="D15" i="3"/>
  <c r="C15" i="3"/>
  <c r="D13" i="3"/>
  <c r="C13" i="3"/>
  <c r="D11" i="3"/>
  <c r="C11" i="3"/>
  <c r="D9" i="3"/>
  <c r="C9" i="3"/>
  <c r="D7" i="3"/>
  <c r="C7" i="3"/>
  <c r="D5" i="3"/>
  <c r="C5" i="3"/>
  <c r="D3" i="3"/>
  <c r="C3" i="3"/>
  <c r="E10" i="3"/>
  <c r="F10" i="3" s="1"/>
  <c r="G10" i="3" s="1"/>
  <c r="G11" i="3" s="1"/>
  <c r="E2" i="3"/>
  <c r="F2" i="3" s="1"/>
  <c r="G2" i="3" s="1"/>
  <c r="E8" i="3"/>
  <c r="F8" i="3" s="1"/>
  <c r="G8" i="3" s="1"/>
  <c r="G9" i="3" s="1"/>
  <c r="E20" i="3"/>
  <c r="F20" i="3" s="1"/>
  <c r="G20" i="3" s="1"/>
  <c r="G21" i="3" s="1"/>
  <c r="E18" i="3"/>
  <c r="F18" i="3" s="1"/>
  <c r="G18" i="3" s="1"/>
  <c r="G19" i="3" s="1"/>
  <c r="E6" i="3"/>
  <c r="E14" i="3"/>
  <c r="F14" i="3" s="1"/>
  <c r="G14" i="3" s="1"/>
  <c r="G15" i="3" s="1"/>
  <c r="E16" i="3"/>
  <c r="F16" i="3" s="1"/>
  <c r="G16" i="3" s="1"/>
  <c r="G17" i="3" s="1"/>
  <c r="E12" i="3"/>
  <c r="F12" i="3" s="1"/>
  <c r="G12" i="3" s="1"/>
  <c r="G13" i="3" s="1"/>
  <c r="E4" i="3"/>
  <c r="F4" i="3" s="1"/>
  <c r="G4" i="3" s="1"/>
  <c r="G5" i="3" s="1"/>
  <c r="G3" i="1"/>
  <c r="G4" i="1"/>
  <c r="G5" i="1"/>
  <c r="G6" i="1"/>
  <c r="G7" i="1"/>
  <c r="G8" i="1"/>
  <c r="G9" i="1"/>
  <c r="G10" i="1"/>
  <c r="G11" i="1"/>
  <c r="G2" i="1"/>
  <c r="E3" i="1"/>
  <c r="E4" i="1"/>
  <c r="E5" i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F3" i="1"/>
  <c r="F4" i="1"/>
  <c r="F5" i="1"/>
  <c r="F2" i="1"/>
  <c r="E2" i="1"/>
  <c r="F6" i="3" l="1"/>
  <c r="F7" i="3" s="1"/>
  <c r="C22" i="3"/>
  <c r="D22" i="3"/>
  <c r="F19" i="3"/>
  <c r="F13" i="3"/>
  <c r="F3" i="3"/>
  <c r="F9" i="3"/>
  <c r="F15" i="3"/>
  <c r="F21" i="3"/>
  <c r="G3" i="3"/>
  <c r="F5" i="3"/>
  <c r="F11" i="3"/>
  <c r="F17" i="3"/>
  <c r="G6" i="3" l="1"/>
  <c r="G7" i="3" s="1"/>
  <c r="F22" i="3"/>
  <c r="G22" i="3" l="1"/>
</calcChain>
</file>

<file path=xl/sharedStrings.xml><?xml version="1.0" encoding="utf-8"?>
<sst xmlns="http://schemas.openxmlformats.org/spreadsheetml/2006/main" count="60" uniqueCount="32">
  <si>
    <t>Ф.И.О</t>
  </si>
  <si>
    <t>Отдел</t>
  </si>
  <si>
    <t>Количество иждвивенцев</t>
  </si>
  <si>
    <t>Всего начислено, руб.</t>
  </si>
  <si>
    <t>% удержания</t>
  </si>
  <si>
    <t>Всего удержано, руб.</t>
  </si>
  <si>
    <t>Сумма к выдаче, руб.</t>
  </si>
  <si>
    <t>Петухова К.И.</t>
  </si>
  <si>
    <t>Безенчук П.Ф.</t>
  </si>
  <si>
    <t>Воробьянинов И.М.</t>
  </si>
  <si>
    <t>Востриков Ф.О.</t>
  </si>
  <si>
    <t>Коробейников В.А.</t>
  </si>
  <si>
    <t>Грицацуева В.С.</t>
  </si>
  <si>
    <t>Гаврилин З.С.</t>
  </si>
  <si>
    <t>Треухов Т.И.</t>
  </si>
  <si>
    <t>Изнуренков А.В.</t>
  </si>
  <si>
    <t>Щукина Э.Е.</t>
  </si>
  <si>
    <t>Названия строк</t>
  </si>
  <si>
    <t>Общий итог</t>
  </si>
  <si>
    <t>Сумма по полю Всего начислено, руб.</t>
  </si>
  <si>
    <t>Сумма по полю Всего удержано, руб.</t>
  </si>
  <si>
    <t>Сумма по полю Сумма к выдаче, руб.</t>
  </si>
  <si>
    <t>Изнуренков А.В. Итог</t>
  </si>
  <si>
    <t>Петухова К.И. Итог</t>
  </si>
  <si>
    <t>Коробейников В.А. Итог</t>
  </si>
  <si>
    <t>Треухов Т.И. Итог</t>
  </si>
  <si>
    <t>Щукина Э.Е. Итог</t>
  </si>
  <si>
    <t>Безенчук П.Ф. Итог</t>
  </si>
  <si>
    <t>Востриков Ф.О. Итог</t>
  </si>
  <si>
    <t>Воробьянинов И.М. Итог</t>
  </si>
  <si>
    <t>Грицацуева В.С. Итог</t>
  </si>
  <si>
    <t>Гаврилин З.С.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</si>
</sst>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164" fontId="0" fillId="0" borderId="1" xfId="0" applyNumberFormat="1" applyBorder="1"/>
    <xf numFmtId="10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2004 MrVak" refreshedDate="45621.924847222224" createdVersion="7" refreshedVersion="7" minRefreshableVersion="3" recordCount="10" xr:uid="{9A1957CE-ED8B-416C-AFF8-73670E32853A}">
  <cacheSource type="worksheet">
    <worksheetSource ref="A1:G11" sheet="Исходная"/>
  </cacheSource>
  <cacheFields count="7">
    <cacheField name="Ф.И.О" numFmtId="0">
      <sharedItems count="10">
        <s v="Петухова К.И."/>
        <s v="Безенчук П.Ф."/>
        <s v="Воробьянинов И.М."/>
        <s v="Востриков Ф.О."/>
        <s v="Коробейников В.А."/>
        <s v="Грицацуева В.С."/>
        <s v="Гаврилин З.С."/>
        <s v="Треухов Т.И."/>
        <s v="Изнуренков А.В."/>
        <s v="Щукина Э.Е."/>
      </sharedItems>
    </cacheField>
    <cacheField name="Отдел" numFmtId="0">
      <sharedItems containsSemiMixedTypes="0" containsString="0" containsNumber="1" containsInteger="1" minValue="1" maxValue="3" count="3">
        <n v="1"/>
        <n v="3"/>
        <n v="2"/>
      </sharedItems>
    </cacheField>
    <cacheField name="Количество иждвивенцев" numFmtId="0">
      <sharedItems containsSemiMixedTypes="0" containsString="0" containsNumber="1" containsInteger="1" minValue="0" maxValue="4" count="5">
        <n v="1"/>
        <n v="2"/>
        <n v="3"/>
        <n v="4"/>
        <n v="0"/>
      </sharedItems>
    </cacheField>
    <cacheField name="Всего начислено, руб." numFmtId="164">
      <sharedItems containsSemiMixedTypes="0" containsString="0" containsNumber="1" containsInteger="1" minValue="250" maxValue="1260" count="10">
        <n v="1260"/>
        <n v="1100"/>
        <n v="800"/>
        <n v="750"/>
        <n v="715"/>
        <n v="630"/>
        <n v="620"/>
        <n v="560"/>
        <n v="420"/>
        <n v="250"/>
      </sharedItems>
    </cacheField>
    <cacheField name="% удержания" numFmtId="10">
      <sharedItems/>
    </cacheField>
    <cacheField name="Всего удержано, руб." numFmtId="164">
      <sharedItems containsSemiMixedTypes="0" containsString="0" containsNumber="1" minValue="0" maxValue="151.19999999999999"/>
    </cacheField>
    <cacheField name="Сумма к выдаче, руб." numFmtId="164">
      <sharedItems containsSemiMixedTypes="0" containsString="0" containsNumber="1" minValue="220" maxValue="1108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s v="12%"/>
    <n v="151.19999999999999"/>
    <n v="1108.8"/>
  </r>
  <r>
    <x v="1"/>
    <x v="1"/>
    <x v="1"/>
    <x v="1"/>
    <s v="10%"/>
    <n v="110"/>
    <n v="990"/>
  </r>
  <r>
    <x v="2"/>
    <x v="2"/>
    <x v="2"/>
    <x v="2"/>
    <s v="5%"/>
    <n v="40"/>
    <n v="760"/>
  </r>
  <r>
    <x v="3"/>
    <x v="2"/>
    <x v="1"/>
    <x v="3"/>
    <s v="10%"/>
    <n v="75"/>
    <n v="675"/>
  </r>
  <r>
    <x v="4"/>
    <x v="1"/>
    <x v="0"/>
    <x v="4"/>
    <s v="12%"/>
    <n v="85.8"/>
    <n v="629.20000000000005"/>
  </r>
  <r>
    <x v="5"/>
    <x v="0"/>
    <x v="2"/>
    <x v="5"/>
    <s v="5%"/>
    <n v="31.5"/>
    <n v="598.5"/>
  </r>
  <r>
    <x v="6"/>
    <x v="0"/>
    <x v="3"/>
    <x v="6"/>
    <s v="0%"/>
    <n v="0"/>
    <n v="620"/>
  </r>
  <r>
    <x v="7"/>
    <x v="1"/>
    <x v="0"/>
    <x v="7"/>
    <s v="12%"/>
    <n v="67.2"/>
    <n v="492.8"/>
  </r>
  <r>
    <x v="8"/>
    <x v="0"/>
    <x v="4"/>
    <x v="8"/>
    <s v="14%"/>
    <n v="58.800000000000004"/>
    <n v="361.2"/>
  </r>
  <r>
    <x v="9"/>
    <x v="1"/>
    <x v="0"/>
    <x v="9"/>
    <s v="12%"/>
    <n v="30"/>
    <n v="2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C2126-F828-4C1B-AB5F-46B91C957A01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D34" firstHeaderRow="0" firstDataRow="1" firstDataCol="1"/>
  <pivotFields count="7">
    <pivotField axis="axisRow" showAll="0" sortType="ascending">
      <items count="11">
        <item x="1"/>
        <item x="2"/>
        <item x="3"/>
        <item x="6"/>
        <item x="5"/>
        <item x="8"/>
        <item x="4"/>
        <item x="0"/>
        <item x="7"/>
        <item x="9"/>
        <item t="default"/>
      </items>
    </pivotField>
    <pivotField axis="axisRow" showAll="0">
      <items count="4">
        <item x="0"/>
        <item x="2"/>
        <item x="1"/>
        <item t="default"/>
      </items>
    </pivotField>
    <pivotField axis="axisRow" showAll="0">
      <items count="6">
        <item x="4"/>
        <item x="0"/>
        <item x="1"/>
        <item x="2"/>
        <item x="3"/>
        <item t="default"/>
      </items>
    </pivotField>
    <pivotField dataField="1" numFmtId="164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dataField="1" numFmtId="164" showAll="0"/>
    <pivotField dataField="1" numFmtId="164" showAll="0"/>
  </pivotFields>
  <rowFields count="3">
    <field x="0"/>
    <field x="2"/>
    <field x="1"/>
  </rowFields>
  <rowItems count="31">
    <i>
      <x/>
    </i>
    <i r="1">
      <x v="2"/>
    </i>
    <i r="2">
      <x v="2"/>
    </i>
    <i>
      <x v="1"/>
    </i>
    <i r="1">
      <x v="3"/>
    </i>
    <i r="2">
      <x v="1"/>
    </i>
    <i>
      <x v="2"/>
    </i>
    <i r="1">
      <x v="2"/>
    </i>
    <i r="2">
      <x v="1"/>
    </i>
    <i>
      <x v="3"/>
    </i>
    <i r="1">
      <x v="4"/>
    </i>
    <i r="2">
      <x/>
    </i>
    <i>
      <x v="4"/>
    </i>
    <i r="1">
      <x v="3"/>
    </i>
    <i r="2">
      <x/>
    </i>
    <i>
      <x v="5"/>
    </i>
    <i r="1">
      <x/>
    </i>
    <i r="2">
      <x/>
    </i>
    <i>
      <x v="6"/>
    </i>
    <i r="1">
      <x v="1"/>
    </i>
    <i r="2">
      <x v="2"/>
    </i>
    <i>
      <x v="7"/>
    </i>
    <i r="1">
      <x v="1"/>
    </i>
    <i r="2">
      <x/>
    </i>
    <i>
      <x v="8"/>
    </i>
    <i r="1">
      <x v="1"/>
    </i>
    <i r="2">
      <x v="2"/>
    </i>
    <i>
      <x v="9"/>
    </i>
    <i r="1">
      <x v="1"/>
    </i>
    <i r="2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Всего начислено, руб." fld="3" baseField="0" baseItem="0"/>
    <dataField name="Сумма по полю Всего удержано, руб." fld="5" baseField="0" baseItem="0"/>
    <dataField name="Сумма по полю Сумма к выдаче, руб.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zoomScale="115" zoomScaleNormal="115" workbookViewId="0">
      <selection sqref="A1:G11"/>
    </sheetView>
  </sheetViews>
  <sheetFormatPr defaultRowHeight="14.4" x14ac:dyDescent="0.3"/>
  <cols>
    <col min="1" max="1" width="17" customWidth="1"/>
    <col min="3" max="3" width="14.88671875" customWidth="1"/>
    <col min="4" max="4" width="15.109375" customWidth="1"/>
    <col min="5" max="5" width="12.44140625" customWidth="1"/>
    <col min="6" max="6" width="14.5546875" customWidth="1"/>
    <col min="7" max="7" width="12.6640625" customWidth="1"/>
  </cols>
  <sheetData>
    <row r="1" spans="1:8" ht="28.8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/>
    </row>
    <row r="2" spans="1:8" x14ac:dyDescent="0.3">
      <c r="A2" s="2" t="s">
        <v>7</v>
      </c>
      <c r="B2" s="2">
        <v>1</v>
      </c>
      <c r="C2" s="2">
        <v>1</v>
      </c>
      <c r="D2" s="4">
        <v>1260</v>
      </c>
      <c r="E2" s="5" t="str">
        <f>IF(C2=0,"14%",IF(C2=1,"12%",IF(C2=2,"10%",IF(C2=3,"5%","0%"))))</f>
        <v>12%</v>
      </c>
      <c r="F2" s="4">
        <f>D2*E2</f>
        <v>151.19999999999999</v>
      </c>
      <c r="G2" s="4">
        <f>D2-F2</f>
        <v>1108.8</v>
      </c>
    </row>
    <row r="3" spans="1:8" x14ac:dyDescent="0.3">
      <c r="A3" s="2" t="s">
        <v>8</v>
      </c>
      <c r="B3" s="2">
        <v>3</v>
      </c>
      <c r="C3" s="2">
        <v>2</v>
      </c>
      <c r="D3" s="4">
        <v>1100</v>
      </c>
      <c r="E3" s="5" t="str">
        <f t="shared" ref="E3:E11" si="0">IF(C3=0,"14%",IF(C3=1,"12%",IF(C3=2,"10%",IF(C3=3,"5%","0%"))))</f>
        <v>10%</v>
      </c>
      <c r="F3" s="4">
        <f t="shared" ref="F3:F11" si="1">D3*E3</f>
        <v>110</v>
      </c>
      <c r="G3" s="4">
        <f t="shared" ref="G3:G11" si="2">D3-F3</f>
        <v>990</v>
      </c>
    </row>
    <row r="4" spans="1:8" x14ac:dyDescent="0.3">
      <c r="A4" s="2" t="s">
        <v>9</v>
      </c>
      <c r="B4" s="2">
        <v>2</v>
      </c>
      <c r="C4" s="2">
        <v>3</v>
      </c>
      <c r="D4" s="4">
        <v>800</v>
      </c>
      <c r="E4" s="5" t="str">
        <f t="shared" si="0"/>
        <v>5%</v>
      </c>
      <c r="F4" s="4">
        <f t="shared" si="1"/>
        <v>40</v>
      </c>
      <c r="G4" s="4">
        <f t="shared" si="2"/>
        <v>760</v>
      </c>
    </row>
    <row r="5" spans="1:8" x14ac:dyDescent="0.3">
      <c r="A5" s="2" t="s">
        <v>10</v>
      </c>
      <c r="B5" s="2">
        <v>2</v>
      </c>
      <c r="C5" s="2">
        <v>2</v>
      </c>
      <c r="D5" s="4">
        <v>750</v>
      </c>
      <c r="E5" s="5" t="str">
        <f t="shared" si="0"/>
        <v>10%</v>
      </c>
      <c r="F5" s="4">
        <f t="shared" si="1"/>
        <v>75</v>
      </c>
      <c r="G5" s="4">
        <f t="shared" si="2"/>
        <v>675</v>
      </c>
    </row>
    <row r="6" spans="1:8" x14ac:dyDescent="0.3">
      <c r="A6" s="2" t="s">
        <v>11</v>
      </c>
      <c r="B6" s="2">
        <v>3</v>
      </c>
      <c r="C6" s="2">
        <v>1</v>
      </c>
      <c r="D6" s="4">
        <v>715</v>
      </c>
      <c r="E6" s="5" t="str">
        <f t="shared" si="0"/>
        <v>12%</v>
      </c>
      <c r="F6" s="4">
        <f t="shared" si="1"/>
        <v>85.8</v>
      </c>
      <c r="G6" s="4">
        <f t="shared" si="2"/>
        <v>629.20000000000005</v>
      </c>
    </row>
    <row r="7" spans="1:8" x14ac:dyDescent="0.3">
      <c r="A7" s="2" t="s">
        <v>12</v>
      </c>
      <c r="B7" s="2">
        <v>1</v>
      </c>
      <c r="C7" s="2">
        <v>3</v>
      </c>
      <c r="D7" s="4">
        <v>630</v>
      </c>
      <c r="E7" s="5" t="str">
        <f t="shared" si="0"/>
        <v>5%</v>
      </c>
      <c r="F7" s="4">
        <f t="shared" si="1"/>
        <v>31.5</v>
      </c>
      <c r="G7" s="4">
        <f t="shared" si="2"/>
        <v>598.5</v>
      </c>
    </row>
    <row r="8" spans="1:8" x14ac:dyDescent="0.3">
      <c r="A8" s="2" t="s">
        <v>13</v>
      </c>
      <c r="B8" s="2">
        <v>1</v>
      </c>
      <c r="C8" s="2">
        <v>4</v>
      </c>
      <c r="D8" s="4">
        <v>620</v>
      </c>
      <c r="E8" s="5" t="str">
        <f t="shared" si="0"/>
        <v>0%</v>
      </c>
      <c r="F8" s="4">
        <f t="shared" si="1"/>
        <v>0</v>
      </c>
      <c r="G8" s="4">
        <f t="shared" si="2"/>
        <v>620</v>
      </c>
    </row>
    <row r="9" spans="1:8" x14ac:dyDescent="0.3">
      <c r="A9" s="2" t="s">
        <v>14</v>
      </c>
      <c r="B9" s="2">
        <v>3</v>
      </c>
      <c r="C9" s="2">
        <v>1</v>
      </c>
      <c r="D9" s="4">
        <v>560</v>
      </c>
      <c r="E9" s="5" t="str">
        <f t="shared" si="0"/>
        <v>12%</v>
      </c>
      <c r="F9" s="4">
        <f t="shared" si="1"/>
        <v>67.2</v>
      </c>
      <c r="G9" s="4">
        <f t="shared" si="2"/>
        <v>492.8</v>
      </c>
    </row>
    <row r="10" spans="1:8" x14ac:dyDescent="0.3">
      <c r="A10" s="2" t="s">
        <v>15</v>
      </c>
      <c r="B10" s="2">
        <v>1</v>
      </c>
      <c r="C10" s="2">
        <v>0</v>
      </c>
      <c r="D10" s="4">
        <v>420</v>
      </c>
      <c r="E10" s="5" t="str">
        <f t="shared" si="0"/>
        <v>14%</v>
      </c>
      <c r="F10" s="4">
        <f t="shared" si="1"/>
        <v>58.800000000000004</v>
      </c>
      <c r="G10" s="4">
        <f t="shared" si="2"/>
        <v>361.2</v>
      </c>
    </row>
    <row r="11" spans="1:8" x14ac:dyDescent="0.3">
      <c r="A11" s="2" t="s">
        <v>16</v>
      </c>
      <c r="B11" s="2">
        <v>3</v>
      </c>
      <c r="C11" s="2">
        <v>1</v>
      </c>
      <c r="D11" s="4">
        <v>250</v>
      </c>
      <c r="E11" s="5" t="str">
        <f t="shared" si="0"/>
        <v>12%</v>
      </c>
      <c r="F11" s="4">
        <f t="shared" si="1"/>
        <v>30</v>
      </c>
      <c r="G11" s="4">
        <f t="shared" si="2"/>
        <v>220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F4CC-6D91-42B0-B84A-5397A9B3F0B0}">
  <dimension ref="A3:D34"/>
  <sheetViews>
    <sheetView topLeftCell="A3" zoomScale="85" zoomScaleNormal="85" workbookViewId="0">
      <selection activeCell="M14" sqref="M14"/>
    </sheetView>
  </sheetViews>
  <sheetFormatPr defaultRowHeight="14.4" x14ac:dyDescent="0.3"/>
  <cols>
    <col min="1" max="1" width="20.88671875" bestFit="1" customWidth="1"/>
    <col min="2" max="2" width="35.33203125" bestFit="1" customWidth="1"/>
    <col min="3" max="3" width="34.88671875" bestFit="1" customWidth="1"/>
    <col min="4" max="4" width="35.21875" bestFit="1" customWidth="1"/>
    <col min="5" max="6" width="20.77734375" bestFit="1" customWidth="1"/>
  </cols>
  <sheetData>
    <row r="3" spans="1:4" x14ac:dyDescent="0.3">
      <c r="A3" s="6" t="s">
        <v>17</v>
      </c>
      <c r="B3" t="s">
        <v>19</v>
      </c>
      <c r="C3" t="s">
        <v>20</v>
      </c>
      <c r="D3" t="s">
        <v>21</v>
      </c>
    </row>
    <row r="4" spans="1:4" x14ac:dyDescent="0.3">
      <c r="A4" s="7" t="s">
        <v>8</v>
      </c>
      <c r="B4" s="8">
        <v>1100</v>
      </c>
      <c r="C4" s="8">
        <v>110</v>
      </c>
      <c r="D4" s="8">
        <v>990</v>
      </c>
    </row>
    <row r="5" spans="1:4" x14ac:dyDescent="0.3">
      <c r="A5" s="9">
        <v>2</v>
      </c>
      <c r="B5" s="8">
        <v>1100</v>
      </c>
      <c r="C5" s="8">
        <v>110</v>
      </c>
      <c r="D5" s="8">
        <v>990</v>
      </c>
    </row>
    <row r="6" spans="1:4" x14ac:dyDescent="0.3">
      <c r="A6" s="10">
        <v>3</v>
      </c>
      <c r="B6" s="8">
        <v>1100</v>
      </c>
      <c r="C6" s="8">
        <v>110</v>
      </c>
      <c r="D6" s="8">
        <v>990</v>
      </c>
    </row>
    <row r="7" spans="1:4" x14ac:dyDescent="0.3">
      <c r="A7" s="7" t="s">
        <v>9</v>
      </c>
      <c r="B7" s="8">
        <v>800</v>
      </c>
      <c r="C7" s="8">
        <v>40</v>
      </c>
      <c r="D7" s="8">
        <v>760</v>
      </c>
    </row>
    <row r="8" spans="1:4" x14ac:dyDescent="0.3">
      <c r="A8" s="9">
        <v>3</v>
      </c>
      <c r="B8" s="8">
        <v>800</v>
      </c>
      <c r="C8" s="8">
        <v>40</v>
      </c>
      <c r="D8" s="8">
        <v>760</v>
      </c>
    </row>
    <row r="9" spans="1:4" x14ac:dyDescent="0.3">
      <c r="A9" s="10">
        <v>2</v>
      </c>
      <c r="B9" s="8">
        <v>800</v>
      </c>
      <c r="C9" s="8">
        <v>40</v>
      </c>
      <c r="D9" s="8">
        <v>760</v>
      </c>
    </row>
    <row r="10" spans="1:4" x14ac:dyDescent="0.3">
      <c r="A10" s="7" t="s">
        <v>10</v>
      </c>
      <c r="B10" s="8">
        <v>750</v>
      </c>
      <c r="C10" s="8">
        <v>75</v>
      </c>
      <c r="D10" s="8">
        <v>675</v>
      </c>
    </row>
    <row r="11" spans="1:4" x14ac:dyDescent="0.3">
      <c r="A11" s="9">
        <v>2</v>
      </c>
      <c r="B11" s="8">
        <v>750</v>
      </c>
      <c r="C11" s="8">
        <v>75</v>
      </c>
      <c r="D11" s="8">
        <v>675</v>
      </c>
    </row>
    <row r="12" spans="1:4" x14ac:dyDescent="0.3">
      <c r="A12" s="10">
        <v>2</v>
      </c>
      <c r="B12" s="8">
        <v>750</v>
      </c>
      <c r="C12" s="8">
        <v>75</v>
      </c>
      <c r="D12" s="8">
        <v>675</v>
      </c>
    </row>
    <row r="13" spans="1:4" x14ac:dyDescent="0.3">
      <c r="A13" s="7" t="s">
        <v>13</v>
      </c>
      <c r="B13" s="8">
        <v>620</v>
      </c>
      <c r="C13" s="8">
        <v>0</v>
      </c>
      <c r="D13" s="8">
        <v>620</v>
      </c>
    </row>
    <row r="14" spans="1:4" x14ac:dyDescent="0.3">
      <c r="A14" s="9">
        <v>4</v>
      </c>
      <c r="B14" s="8">
        <v>620</v>
      </c>
      <c r="C14" s="8">
        <v>0</v>
      </c>
      <c r="D14" s="8">
        <v>620</v>
      </c>
    </row>
    <row r="15" spans="1:4" x14ac:dyDescent="0.3">
      <c r="A15" s="10">
        <v>1</v>
      </c>
      <c r="B15" s="8">
        <v>620</v>
      </c>
      <c r="C15" s="8">
        <v>0</v>
      </c>
      <c r="D15" s="8">
        <v>620</v>
      </c>
    </row>
    <row r="16" spans="1:4" x14ac:dyDescent="0.3">
      <c r="A16" s="7" t="s">
        <v>12</v>
      </c>
      <c r="B16" s="8">
        <v>630</v>
      </c>
      <c r="C16" s="8">
        <v>31.5</v>
      </c>
      <c r="D16" s="8">
        <v>598.5</v>
      </c>
    </row>
    <row r="17" spans="1:4" x14ac:dyDescent="0.3">
      <c r="A17" s="9">
        <v>3</v>
      </c>
      <c r="B17" s="8">
        <v>630</v>
      </c>
      <c r="C17" s="8">
        <v>31.5</v>
      </c>
      <c r="D17" s="8">
        <v>598.5</v>
      </c>
    </row>
    <row r="18" spans="1:4" x14ac:dyDescent="0.3">
      <c r="A18" s="10">
        <v>1</v>
      </c>
      <c r="B18" s="8">
        <v>630</v>
      </c>
      <c r="C18" s="8">
        <v>31.5</v>
      </c>
      <c r="D18" s="8">
        <v>598.5</v>
      </c>
    </row>
    <row r="19" spans="1:4" x14ac:dyDescent="0.3">
      <c r="A19" s="7" t="s">
        <v>15</v>
      </c>
      <c r="B19" s="8">
        <v>420</v>
      </c>
      <c r="C19" s="8">
        <v>58.800000000000004</v>
      </c>
      <c r="D19" s="8">
        <v>361.2</v>
      </c>
    </row>
    <row r="20" spans="1:4" x14ac:dyDescent="0.3">
      <c r="A20" s="9">
        <v>0</v>
      </c>
      <c r="B20" s="8">
        <v>420</v>
      </c>
      <c r="C20" s="8">
        <v>58.800000000000004</v>
      </c>
      <c r="D20" s="8">
        <v>361.2</v>
      </c>
    </row>
    <row r="21" spans="1:4" x14ac:dyDescent="0.3">
      <c r="A21" s="10">
        <v>1</v>
      </c>
      <c r="B21" s="8">
        <v>420</v>
      </c>
      <c r="C21" s="8">
        <v>58.800000000000004</v>
      </c>
      <c r="D21" s="8">
        <v>361.2</v>
      </c>
    </row>
    <row r="22" spans="1:4" x14ac:dyDescent="0.3">
      <c r="A22" s="7" t="s">
        <v>11</v>
      </c>
      <c r="B22" s="8">
        <v>715</v>
      </c>
      <c r="C22" s="8">
        <v>85.8</v>
      </c>
      <c r="D22" s="8">
        <v>629.20000000000005</v>
      </c>
    </row>
    <row r="23" spans="1:4" x14ac:dyDescent="0.3">
      <c r="A23" s="9">
        <v>1</v>
      </c>
      <c r="B23" s="8">
        <v>715</v>
      </c>
      <c r="C23" s="8">
        <v>85.8</v>
      </c>
      <c r="D23" s="8">
        <v>629.20000000000005</v>
      </c>
    </row>
    <row r="24" spans="1:4" x14ac:dyDescent="0.3">
      <c r="A24" s="10">
        <v>3</v>
      </c>
      <c r="B24" s="8">
        <v>715</v>
      </c>
      <c r="C24" s="8">
        <v>85.8</v>
      </c>
      <c r="D24" s="8">
        <v>629.20000000000005</v>
      </c>
    </row>
    <row r="25" spans="1:4" x14ac:dyDescent="0.3">
      <c r="A25" s="7" t="s">
        <v>7</v>
      </c>
      <c r="B25" s="8">
        <v>1260</v>
      </c>
      <c r="C25" s="8">
        <v>151.19999999999999</v>
      </c>
      <c r="D25" s="8">
        <v>1108.8</v>
      </c>
    </row>
    <row r="26" spans="1:4" x14ac:dyDescent="0.3">
      <c r="A26" s="9">
        <v>1</v>
      </c>
      <c r="B26" s="8">
        <v>1260</v>
      </c>
      <c r="C26" s="8">
        <v>151.19999999999999</v>
      </c>
      <c r="D26" s="8">
        <v>1108.8</v>
      </c>
    </row>
    <row r="27" spans="1:4" x14ac:dyDescent="0.3">
      <c r="A27" s="10">
        <v>1</v>
      </c>
      <c r="B27" s="8">
        <v>1260</v>
      </c>
      <c r="C27" s="8">
        <v>151.19999999999999</v>
      </c>
      <c r="D27" s="8">
        <v>1108.8</v>
      </c>
    </row>
    <row r="28" spans="1:4" x14ac:dyDescent="0.3">
      <c r="A28" s="7" t="s">
        <v>14</v>
      </c>
      <c r="B28" s="8">
        <v>560</v>
      </c>
      <c r="C28" s="8">
        <v>67.2</v>
      </c>
      <c r="D28" s="8">
        <v>492.8</v>
      </c>
    </row>
    <row r="29" spans="1:4" x14ac:dyDescent="0.3">
      <c r="A29" s="9">
        <v>1</v>
      </c>
      <c r="B29" s="8">
        <v>560</v>
      </c>
      <c r="C29" s="8">
        <v>67.2</v>
      </c>
      <c r="D29" s="8">
        <v>492.8</v>
      </c>
    </row>
    <row r="30" spans="1:4" x14ac:dyDescent="0.3">
      <c r="A30" s="10">
        <v>3</v>
      </c>
      <c r="B30" s="8">
        <v>560</v>
      </c>
      <c r="C30" s="8">
        <v>67.2</v>
      </c>
      <c r="D30" s="8">
        <v>492.8</v>
      </c>
    </row>
    <row r="31" spans="1:4" x14ac:dyDescent="0.3">
      <c r="A31" s="7" t="s">
        <v>16</v>
      </c>
      <c r="B31" s="8">
        <v>250</v>
      </c>
      <c r="C31" s="8">
        <v>30</v>
      </c>
      <c r="D31" s="8">
        <v>220</v>
      </c>
    </row>
    <row r="32" spans="1:4" x14ac:dyDescent="0.3">
      <c r="A32" s="9">
        <v>1</v>
      </c>
      <c r="B32" s="8">
        <v>250</v>
      </c>
      <c r="C32" s="8">
        <v>30</v>
      </c>
      <c r="D32" s="8">
        <v>220</v>
      </c>
    </row>
    <row r="33" spans="1:4" x14ac:dyDescent="0.3">
      <c r="A33" s="10">
        <v>3</v>
      </c>
      <c r="B33" s="8">
        <v>250</v>
      </c>
      <c r="C33" s="8">
        <v>30</v>
      </c>
      <c r="D33" s="8">
        <v>220</v>
      </c>
    </row>
    <row r="34" spans="1:4" x14ac:dyDescent="0.3">
      <c r="A34" s="7" t="s">
        <v>18</v>
      </c>
      <c r="B34" s="8">
        <v>7105</v>
      </c>
      <c r="C34" s="8">
        <v>649.5</v>
      </c>
      <c r="D34" s="8">
        <v>6455.5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8C2DD-1D17-46EC-B4A3-A6CB9F815674}">
  <dimension ref="A1:G22"/>
  <sheetViews>
    <sheetView tabSelected="1" workbookViewId="0">
      <selection activeCell="D5" sqref="D5"/>
    </sheetView>
  </sheetViews>
  <sheetFormatPr defaultRowHeight="14.4" outlineLevelRow="2" x14ac:dyDescent="0.3"/>
  <cols>
    <col min="1" max="1" width="25.109375" customWidth="1"/>
    <col min="3" max="3" width="13.44140625" customWidth="1"/>
    <col min="4" max="4" width="12.33203125" customWidth="1"/>
    <col min="5" max="5" width="12.109375" customWidth="1"/>
    <col min="6" max="6" width="11.33203125" customWidth="1"/>
    <col min="7" max="7" width="12.44140625" customWidth="1"/>
  </cols>
  <sheetData>
    <row r="1" spans="1:7" ht="43.2" x14ac:dyDescent="0.3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spans="1:7" outlineLevel="2" x14ac:dyDescent="0.3">
      <c r="A2" s="2" t="s">
        <v>15</v>
      </c>
      <c r="B2" s="2">
        <v>1</v>
      </c>
      <c r="C2" s="2">
        <v>0</v>
      </c>
      <c r="D2" s="4">
        <v>420</v>
      </c>
      <c r="E2" s="5" t="str">
        <f>IF(C2=0,"14%",IF(C2=1,"12%",IF(C2=2,"10%",IF(C2=3,"5%","0%"))))</f>
        <v>14%</v>
      </c>
      <c r="F2" s="4">
        <f>D2*E2</f>
        <v>58.800000000000004</v>
      </c>
      <c r="G2" s="4">
        <f>D2-F2</f>
        <v>361.2</v>
      </c>
    </row>
    <row r="3" spans="1:7" outlineLevel="1" x14ac:dyDescent="0.3">
      <c r="A3" s="11" t="s">
        <v>22</v>
      </c>
      <c r="B3" s="2"/>
      <c r="C3" s="2">
        <f>SUBTOTAL(9,C2:C2)</f>
        <v>0</v>
      </c>
      <c r="D3" s="4">
        <f>SUBTOTAL(9,D2:D2)</f>
        <v>420</v>
      </c>
      <c r="E3" s="5"/>
      <c r="F3" s="4">
        <f>SUBTOTAL(9,F2:F2)</f>
        <v>58.800000000000004</v>
      </c>
      <c r="G3" s="4">
        <f>SUBTOTAL(9,G2:G2)</f>
        <v>361.2</v>
      </c>
    </row>
    <row r="4" spans="1:7" outlineLevel="2" x14ac:dyDescent="0.3">
      <c r="A4" s="2" t="s">
        <v>7</v>
      </c>
      <c r="B4" s="2">
        <v>1</v>
      </c>
      <c r="C4" s="2">
        <v>1</v>
      </c>
      <c r="D4" s="4">
        <v>1260</v>
      </c>
      <c r="E4" s="5" t="str">
        <f>IF(C4=0,"14%",IF(C4=1,"12%",IF(C4=2,"10%",IF(C4=3,"5%","0%"))))</f>
        <v>12%</v>
      </c>
      <c r="F4" s="4">
        <f>D4*E4</f>
        <v>151.19999999999999</v>
      </c>
      <c r="G4" s="4">
        <f>D4-F4</f>
        <v>1108.8</v>
      </c>
    </row>
    <row r="5" spans="1:7" outlineLevel="1" x14ac:dyDescent="0.3">
      <c r="A5" s="11" t="s">
        <v>23</v>
      </c>
      <c r="B5" s="2"/>
      <c r="C5" s="2">
        <f>SUBTOTAL(9,C4:C4)</f>
        <v>1</v>
      </c>
      <c r="D5" s="4">
        <f>SUBTOTAL(9,D4:D4)</f>
        <v>1260</v>
      </c>
      <c r="E5" s="5"/>
      <c r="F5" s="4">
        <f>SUBTOTAL(9,F4:F4)</f>
        <v>151.19999999999999</v>
      </c>
      <c r="G5" s="4">
        <f>SUBTOTAL(9,G4:G4)</f>
        <v>1108.8</v>
      </c>
    </row>
    <row r="6" spans="1:7" outlineLevel="2" x14ac:dyDescent="0.3">
      <c r="A6" s="2" t="s">
        <v>11</v>
      </c>
      <c r="B6" s="2">
        <v>3</v>
      </c>
      <c r="C6" s="2">
        <v>1</v>
      </c>
      <c r="D6" s="4">
        <v>715</v>
      </c>
      <c r="E6" s="5" t="str">
        <f>IF(C6=0,"14%",IF(C6=1,"12%",IF(C6=2,"10%",IF(C6=3,"5%","0%"))))</f>
        <v>12%</v>
      </c>
      <c r="F6" s="4">
        <f>D6*E6</f>
        <v>85.8</v>
      </c>
      <c r="G6" s="4">
        <f>D6-F6</f>
        <v>629.20000000000005</v>
      </c>
    </row>
    <row r="7" spans="1:7" outlineLevel="1" x14ac:dyDescent="0.3">
      <c r="A7" s="11" t="s">
        <v>24</v>
      </c>
      <c r="B7" s="2"/>
      <c r="C7" s="2">
        <f>SUBTOTAL(9,C6:C6)</f>
        <v>1</v>
      </c>
      <c r="D7" s="4">
        <f>SUBTOTAL(9,D6:D6)</f>
        <v>715</v>
      </c>
      <c r="E7" s="5"/>
      <c r="F7" s="4">
        <f>SUBTOTAL(9,F6:F6)</f>
        <v>85.8</v>
      </c>
      <c r="G7" s="4">
        <f>SUBTOTAL(9,G6:G6)</f>
        <v>629.20000000000005</v>
      </c>
    </row>
    <row r="8" spans="1:7" outlineLevel="2" x14ac:dyDescent="0.3">
      <c r="A8" s="2" t="s">
        <v>14</v>
      </c>
      <c r="B8" s="2">
        <v>3</v>
      </c>
      <c r="C8" s="2">
        <v>1</v>
      </c>
      <c r="D8" s="4">
        <v>560</v>
      </c>
      <c r="E8" s="5" t="str">
        <f>IF(C8=0,"14%",IF(C8=1,"12%",IF(C8=2,"10%",IF(C8=3,"5%","0%"))))</f>
        <v>12%</v>
      </c>
      <c r="F8" s="4">
        <f>D8*E8</f>
        <v>67.2</v>
      </c>
      <c r="G8" s="4">
        <f>D8-F8</f>
        <v>492.8</v>
      </c>
    </row>
    <row r="9" spans="1:7" outlineLevel="1" x14ac:dyDescent="0.3">
      <c r="A9" s="11" t="s">
        <v>25</v>
      </c>
      <c r="B9" s="2"/>
      <c r="C9" s="2">
        <f>SUBTOTAL(9,C8:C8)</f>
        <v>1</v>
      </c>
      <c r="D9" s="4">
        <f>SUBTOTAL(9,D8:D8)</f>
        <v>560</v>
      </c>
      <c r="E9" s="5"/>
      <c r="F9" s="4">
        <f>SUBTOTAL(9,F8:F8)</f>
        <v>67.2</v>
      </c>
      <c r="G9" s="4">
        <f>SUBTOTAL(9,G8:G8)</f>
        <v>492.8</v>
      </c>
    </row>
    <row r="10" spans="1:7" outlineLevel="2" x14ac:dyDescent="0.3">
      <c r="A10" s="2" t="s">
        <v>16</v>
      </c>
      <c r="B10" s="2">
        <v>3</v>
      </c>
      <c r="C10" s="2">
        <v>1</v>
      </c>
      <c r="D10" s="4">
        <v>250</v>
      </c>
      <c r="E10" s="5" t="str">
        <f>IF(C10=0,"14%",IF(C10=1,"12%",IF(C10=2,"10%",IF(C10=3,"5%","0%"))))</f>
        <v>12%</v>
      </c>
      <c r="F10" s="4">
        <f>D10*E10</f>
        <v>30</v>
      </c>
      <c r="G10" s="4">
        <f>D10-F10</f>
        <v>220</v>
      </c>
    </row>
    <row r="11" spans="1:7" outlineLevel="1" x14ac:dyDescent="0.3">
      <c r="A11" s="11" t="s">
        <v>26</v>
      </c>
      <c r="B11" s="2"/>
      <c r="C11" s="2">
        <f>SUBTOTAL(9,C10:C10)</f>
        <v>1</v>
      </c>
      <c r="D11" s="4">
        <f>SUBTOTAL(9,D10:D10)</f>
        <v>250</v>
      </c>
      <c r="E11" s="5"/>
      <c r="F11" s="4">
        <f>SUBTOTAL(9,F10:F10)</f>
        <v>30</v>
      </c>
      <c r="G11" s="4">
        <f>SUBTOTAL(9,G10:G10)</f>
        <v>220</v>
      </c>
    </row>
    <row r="12" spans="1:7" outlineLevel="2" x14ac:dyDescent="0.3">
      <c r="A12" s="2" t="s">
        <v>8</v>
      </c>
      <c r="B12" s="2">
        <v>3</v>
      </c>
      <c r="C12" s="2">
        <v>2</v>
      </c>
      <c r="D12" s="4">
        <v>1100</v>
      </c>
      <c r="E12" s="5" t="str">
        <f>IF(C12=0,"14%",IF(C12=1,"12%",IF(C12=2,"10%",IF(C12=3,"5%","0%"))))</f>
        <v>10%</v>
      </c>
      <c r="F12" s="4">
        <f>D12*E12</f>
        <v>110</v>
      </c>
      <c r="G12" s="4">
        <f>D12-F12</f>
        <v>990</v>
      </c>
    </row>
    <row r="13" spans="1:7" outlineLevel="1" x14ac:dyDescent="0.3">
      <c r="A13" s="11" t="s">
        <v>27</v>
      </c>
      <c r="B13" s="2"/>
      <c r="C13" s="2">
        <f>SUBTOTAL(9,C12:C12)</f>
        <v>2</v>
      </c>
      <c r="D13" s="4">
        <f>SUBTOTAL(9,D12:D12)</f>
        <v>1100</v>
      </c>
      <c r="E13" s="5"/>
      <c r="F13" s="4">
        <f>SUBTOTAL(9,F12:F12)</f>
        <v>110</v>
      </c>
      <c r="G13" s="4">
        <f>SUBTOTAL(9,G12:G12)</f>
        <v>990</v>
      </c>
    </row>
    <row r="14" spans="1:7" outlineLevel="2" x14ac:dyDescent="0.3">
      <c r="A14" s="2" t="s">
        <v>10</v>
      </c>
      <c r="B14" s="2">
        <v>2</v>
      </c>
      <c r="C14" s="2">
        <v>2</v>
      </c>
      <c r="D14" s="4">
        <v>750</v>
      </c>
      <c r="E14" s="5" t="str">
        <f>IF(C14=0,"14%",IF(C14=1,"12%",IF(C14=2,"10%",IF(C14=3,"5%","0%"))))</f>
        <v>10%</v>
      </c>
      <c r="F14" s="4">
        <f>D14*E14</f>
        <v>75</v>
      </c>
      <c r="G14" s="4">
        <f>D14-F14</f>
        <v>675</v>
      </c>
    </row>
    <row r="15" spans="1:7" outlineLevel="1" x14ac:dyDescent="0.3">
      <c r="A15" s="11" t="s">
        <v>28</v>
      </c>
      <c r="B15" s="2"/>
      <c r="C15" s="2">
        <f>SUBTOTAL(9,C14:C14)</f>
        <v>2</v>
      </c>
      <c r="D15" s="4">
        <f>SUBTOTAL(9,D14:D14)</f>
        <v>750</v>
      </c>
      <c r="E15" s="5"/>
      <c r="F15" s="4">
        <f>SUBTOTAL(9,F14:F14)</f>
        <v>75</v>
      </c>
      <c r="G15" s="4">
        <f>SUBTOTAL(9,G14:G14)</f>
        <v>675</v>
      </c>
    </row>
    <row r="16" spans="1:7" outlineLevel="2" x14ac:dyDescent="0.3">
      <c r="A16" s="2" t="s">
        <v>9</v>
      </c>
      <c r="B16" s="2">
        <v>2</v>
      </c>
      <c r="C16" s="2">
        <v>3</v>
      </c>
      <c r="D16" s="4">
        <v>800</v>
      </c>
      <c r="E16" s="5" t="str">
        <f>IF(C16=0,"14%",IF(C16=1,"12%",IF(C16=2,"10%",IF(C16=3,"5%","0%"))))</f>
        <v>5%</v>
      </c>
      <c r="F16" s="4">
        <f>D16*E16</f>
        <v>40</v>
      </c>
      <c r="G16" s="4">
        <f>D16-F16</f>
        <v>760</v>
      </c>
    </row>
    <row r="17" spans="1:7" outlineLevel="1" x14ac:dyDescent="0.3">
      <c r="A17" s="11" t="s">
        <v>29</v>
      </c>
      <c r="B17" s="2"/>
      <c r="C17" s="2">
        <f>SUBTOTAL(9,C16:C16)</f>
        <v>3</v>
      </c>
      <c r="D17" s="4">
        <f>SUBTOTAL(9,D16:D16)</f>
        <v>800</v>
      </c>
      <c r="E17" s="5"/>
      <c r="F17" s="4">
        <f>SUBTOTAL(9,F16:F16)</f>
        <v>40</v>
      </c>
      <c r="G17" s="4">
        <f>SUBTOTAL(9,G16:G16)</f>
        <v>760</v>
      </c>
    </row>
    <row r="18" spans="1:7" outlineLevel="2" x14ac:dyDescent="0.3">
      <c r="A18" s="2" t="s">
        <v>12</v>
      </c>
      <c r="B18" s="2">
        <v>1</v>
      </c>
      <c r="C18" s="2">
        <v>3</v>
      </c>
      <c r="D18" s="4">
        <v>630</v>
      </c>
      <c r="E18" s="5" t="str">
        <f>IF(C18=0,"14%",IF(C18=1,"12%",IF(C18=2,"10%",IF(C18=3,"5%","0%"))))</f>
        <v>5%</v>
      </c>
      <c r="F18" s="4">
        <f>D18*E18</f>
        <v>31.5</v>
      </c>
      <c r="G18" s="4">
        <f>D18-F18</f>
        <v>598.5</v>
      </c>
    </row>
    <row r="19" spans="1:7" outlineLevel="1" x14ac:dyDescent="0.3">
      <c r="A19" s="11" t="s">
        <v>30</v>
      </c>
      <c r="B19" s="2"/>
      <c r="C19" s="2">
        <f>SUBTOTAL(9,C18:C18)</f>
        <v>3</v>
      </c>
      <c r="D19" s="4">
        <f>SUBTOTAL(9,D18:D18)</f>
        <v>630</v>
      </c>
      <c r="E19" s="5"/>
      <c r="F19" s="4">
        <f>SUBTOTAL(9,F18:F18)</f>
        <v>31.5</v>
      </c>
      <c r="G19" s="4">
        <f>SUBTOTAL(9,G18:G18)</f>
        <v>598.5</v>
      </c>
    </row>
    <row r="20" spans="1:7" outlineLevel="2" x14ac:dyDescent="0.3">
      <c r="A20" s="2" t="s">
        <v>13</v>
      </c>
      <c r="B20" s="2">
        <v>1</v>
      </c>
      <c r="C20" s="2">
        <v>4</v>
      </c>
      <c r="D20" s="4">
        <v>620</v>
      </c>
      <c r="E20" s="5" t="str">
        <f>IF(C20=0,"14%",IF(C20=1,"12%",IF(C20=2,"10%",IF(C20=3,"5%","0%"))))</f>
        <v>0%</v>
      </c>
      <c r="F20" s="4">
        <f>D20*E20</f>
        <v>0</v>
      </c>
      <c r="G20" s="4">
        <f>D20-F20</f>
        <v>620</v>
      </c>
    </row>
    <row r="21" spans="1:7" outlineLevel="1" x14ac:dyDescent="0.3">
      <c r="A21" s="11" t="s">
        <v>31</v>
      </c>
      <c r="B21" s="2"/>
      <c r="C21" s="2">
        <f>SUBTOTAL(9,C20:C20)</f>
        <v>4</v>
      </c>
      <c r="D21" s="4">
        <f>SUBTOTAL(9,D20:D20)</f>
        <v>620</v>
      </c>
      <c r="E21" s="5"/>
      <c r="F21" s="4">
        <f>SUBTOTAL(9,F20:F20)</f>
        <v>0</v>
      </c>
      <c r="G21" s="4">
        <f>SUBTOTAL(9,G20:G20)</f>
        <v>620</v>
      </c>
    </row>
    <row r="22" spans="1:7" x14ac:dyDescent="0.3">
      <c r="A22" s="11" t="s">
        <v>18</v>
      </c>
      <c r="B22" s="2"/>
      <c r="C22" s="2">
        <f>SUBTOTAL(9,C2:C20)</f>
        <v>18</v>
      </c>
      <c r="D22" s="4">
        <f>SUBTOTAL(9,D2:D20)</f>
        <v>7105</v>
      </c>
      <c r="E22" s="5"/>
      <c r="F22" s="4">
        <f>SUBTOTAL(9,F2:F20)</f>
        <v>649.5</v>
      </c>
      <c r="G22" s="4">
        <f>SUBTOTAL(9,G2:G20)</f>
        <v>6455.5</v>
      </c>
    </row>
  </sheetData>
  <sortState xmlns:xlrd2="http://schemas.microsoft.com/office/spreadsheetml/2017/richdata2" ref="A2:G20">
    <sortCondition ref="C2:C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Исходная</vt:lpstr>
      <vt:lpstr>Задание 2</vt:lpstr>
      <vt:lpstr>Задание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kitty swirth</dc:creator>
  <cp:lastModifiedBy>feef ewfew</cp:lastModifiedBy>
  <dcterms:created xsi:type="dcterms:W3CDTF">2015-06-05T18:19:34Z</dcterms:created>
  <dcterms:modified xsi:type="dcterms:W3CDTF">2024-12-10T04:56:06Z</dcterms:modified>
</cp:coreProperties>
</file>